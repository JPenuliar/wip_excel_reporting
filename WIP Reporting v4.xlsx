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1.xml" ContentType="application/vnd.openxmlformats-officedocument.spreadsheetml.queryTable+xml"/>
  <Override PartName="/xl/tables/table7.xml" ContentType="application/vnd.openxmlformats-officedocument.spreadsheetml.table+xml"/>
  <Override PartName="/xl/queryTables/queryTable2.xml" ContentType="application/vnd.openxmlformats-officedocument.spreadsheetml.queryTable+xml"/>
  <Override PartName="/xl/tables/table8.xml" ContentType="application/vnd.openxmlformats-officedocument.spreadsheetml.table+xml"/>
  <Override PartName="/xl/queryTables/queryTable3.xml" ContentType="application/vnd.openxmlformats-officedocument.spreadsheetml.queryTable+xml"/>
  <Override PartName="/xl/tables/table9.xml" ContentType="application/vnd.openxmlformats-officedocument.spreadsheetml.table+xml"/>
  <Override PartName="/xl/queryTables/queryTable4.xml" ContentType="application/vnd.openxmlformats-officedocument.spreadsheetml.queryTable+xml"/>
  <Override PartName="/xl/tables/table10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onathanPenuliar\Downloads\"/>
    </mc:Choice>
  </mc:AlternateContent>
  <xr:revisionPtr revIDLastSave="0" documentId="13_ncr:1_{B2C53DF1-AE4E-41EA-9344-6B408908767F}" xr6:coauthVersionLast="47" xr6:coauthVersionMax="47" xr10:uidLastSave="{00000000-0000-0000-0000-000000000000}"/>
  <bookViews>
    <workbookView xWindow="-14430" yWindow="-16320" windowWidth="29040" windowHeight="15720" tabRatio="911" xr2:uid="{D6511F6A-1117-4FB2-89DF-C6BE6F088673}"/>
  </bookViews>
  <sheets>
    <sheet name="WIP" sheetId="1" r:id="rId1"/>
    <sheet name="Master" sheetId="11" state="hidden" r:id="rId2"/>
    <sheet name="Config" sheetId="4" state="hidden" r:id="rId3"/>
    <sheet name="audit_expected_fees" sheetId="6" r:id="rId4"/>
    <sheet name="wip_opps_exp_fees_exist_lines " sheetId="10" r:id="rId5"/>
    <sheet name="wip_opps_exp_fees_new_lines " sheetId="9" r:id="rId6"/>
    <sheet name="wip_job_exp_fees_new_lines " sheetId="8" r:id="rId7"/>
    <sheet name="wip_job_exp_fees_exist_lines " sheetId="7" r:id="rId8"/>
  </sheets>
  <definedNames>
    <definedName name="ExternalData_2" localSheetId="3" hidden="1">audit_expected_fees!$A$2:$P$3</definedName>
    <definedName name="ExternalData_3" localSheetId="7" hidden="1">'wip_job_exp_fees_exist_lines '!$A$1:$U$2</definedName>
    <definedName name="ExternalData_4" localSheetId="6" hidden="1">'wip_job_exp_fees_new_lines '!$A$1:$U$2</definedName>
    <definedName name="ExternalData_5" localSheetId="5" hidden="1">'wip_opps_exp_fees_new_lines '!$A$1:$U$2</definedName>
    <definedName name="ExternalData_6" localSheetId="4" hidden="1">'wip_opps_exp_fees_exist_lines '!$A$1:$U$2</definedName>
    <definedName name="jum_dropdown_list" localSheetId="1">TableJUM[JUM]</definedName>
    <definedName name="jum_dropdown_list" comment="Dropdown List for JUMs">TableJUM[JUM]</definedName>
    <definedName name="Weighting">TableWeighting[[#All],[Weighting]]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Y4" i="1" l="1" a="1"/>
  <c r="Y4" i="1" s="1"/>
  <c r="Z4" i="1" a="1"/>
  <c r="Z4" i="1" s="1"/>
  <c r="Y5" i="1" a="1"/>
  <c r="Y5" i="1" s="1"/>
  <c r="Z5" i="1" a="1"/>
  <c r="Z5" i="1" s="1"/>
  <c r="Z3" i="1" a="1"/>
  <c r="Z3" i="1" s="1"/>
  <c r="Y3" i="1" a="1"/>
  <c r="Y3" i="1" s="1"/>
  <c r="D4" i="1"/>
  <c r="D3" i="1"/>
  <c r="D5" i="1"/>
  <c r="J3" i="1"/>
  <c r="J4" i="1"/>
  <c r="J5" i="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I6" i="11"/>
  <c r="Z5" i="11" a="1"/>
  <c r="Z5" i="11" s="1"/>
  <c r="Y5" i="11" a="1"/>
  <c r="Y5" i="11" s="1"/>
  <c r="Z4" i="11" a="1"/>
  <c r="Z4" i="11" s="1"/>
  <c r="Y4" i="11" a="1"/>
  <c r="Y4" i="11" s="1"/>
  <c r="Z3" i="11" a="1"/>
  <c r="Z3" i="11" s="1"/>
  <c r="Y3" i="11" a="1"/>
  <c r="Y3" i="11" s="1"/>
  <c r="L6" i="1"/>
  <c r="M6" i="1"/>
  <c r="N6" i="1"/>
  <c r="O6" i="1"/>
  <c r="P6" i="1"/>
  <c r="Q6" i="1"/>
  <c r="R6" i="1"/>
  <c r="S6" i="1"/>
  <c r="T6" i="1"/>
  <c r="U6" i="1"/>
  <c r="V6" i="1"/>
  <c r="W6" i="1"/>
  <c r="K6" i="1"/>
  <c r="I6" i="1"/>
  <c r="Z6" i="11" l="1"/>
  <c r="Y6" i="11"/>
  <c r="Z6" i="1"/>
  <c r="Y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2ECE5D-51BC-4839-AAEA-185E7C9E18C5}" keepAlive="1" name="Query - audit_expected_fees" description="Connection to the 'audit_expected_fees' query in the workbook." type="5" refreshedVersion="8" background="1" saveData="1">
    <dbPr connection="Provider=Microsoft.Mashup.OleDb.1;Data Source=$Workbook$;Location=audit_expected_fees;Extended Properties=&quot;&quot;" command="SELECT * FROM [audit_expected_fees]"/>
  </connection>
  <connection id="2" xr16:uid="{0BD33832-06E9-414D-ACF5-B9E533317E51}" keepAlive="1" name="Query - wip_job_expected_fees_existing_lines" description="Connection to the 'wip_job_expected_fees_existing_lines' query in the workbook." type="5" refreshedVersion="8" background="1" saveData="1">
    <dbPr connection="Provider=Microsoft.Mashup.OleDb.1;Data Source=$Workbook$;Location=wip_job_expected_fees_existing_lines;Extended Properties=&quot;&quot;" command="SELECT * FROM [wip_job_expected_fees_existing_lines]"/>
  </connection>
  <connection id="3" xr16:uid="{FF528C08-2C6F-4D46-8E30-F4C0D052B631}" keepAlive="1" name="Query - wip_job_expected_fees_new_lines" description="Connection to the 'wip_job_expected_fees_new_lines' query in the workbook." type="5" refreshedVersion="8" background="1" saveData="1">
    <dbPr connection="Provider=Microsoft.Mashup.OleDb.1;Data Source=$Workbook$;Location=wip_job_expected_fees_new_lines;Extended Properties=&quot;&quot;" command="SELECT * FROM [wip_job_expected_fees_new_lines]"/>
  </connection>
  <connection id="4" xr16:uid="{23B03F75-B378-45EC-9D96-ADD3138EE5BF}" keepAlive="1" name="Query - wip_oportunities_expected_fees_existing_lines" description="Connection to the 'wip_oportunities_expected_fees_existing_lines' query in the workbook." type="5" refreshedVersion="8" background="1" saveData="1">
    <dbPr connection="Provider=Microsoft.Mashup.OleDb.1;Data Source=$Workbook$;Location=wip_oportunities_expected_fees_existing_lines;Extended Properties=&quot;&quot;" command="SELECT * FROM [wip_oportunities_expected_fees_existing_lines]"/>
  </connection>
  <connection id="5" xr16:uid="{30947A4D-56CB-4918-A238-33EB046DA178}" keepAlive="1" name="Query - wip_oportunities_expected_fees_new_lines(1)" description="Connection to the 'wip_oportunities_expected_fees_new_lines' query in the workbook." type="5" refreshedVersion="8" background="1" saveData="1">
    <dbPr connection="Provider=Microsoft.Mashup.OleDb.1;Data Source=$Workbook$;Location=wip_oportunities_expected_fees_new_lines;Extended Properties=&quot;&quot;" command="SELECT * FROM [wip_oportunities_expected_fees_new_lin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<sst xmlns="http://schemas.openxmlformats.org/spreadsheetml/2006/main" count="229" uniqueCount="92">
  <si>
    <t>Instructing Client</t>
  </si>
  <si>
    <t>JUM</t>
  </si>
  <si>
    <t>Department</t>
  </si>
  <si>
    <t>Subteam</t>
  </si>
  <si>
    <t>Service Type</t>
  </si>
  <si>
    <t>Finance Year</t>
  </si>
  <si>
    <t>Actuals  YTD</t>
  </si>
  <si>
    <t>Weighting %</t>
  </si>
  <si>
    <t>TOTAL
ACTUAL + PIPELINE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</si>
  <si>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</si>
  <si>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</si>
  <si>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</si>
  <si>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</si>
  <si>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</si>
  <si>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</si>
  <si>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</si>
  <si>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</si>
  <si>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</si>
  <si>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</si>
  <si>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</si>
  <si>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</si>
  <si>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forecastkey</t>
  </si>
  <si>
    <t>expected_fee_internal_id</t>
  </si>
  <si>
    <t>recordid</t>
  </si>
  <si>
    <t>record_type</t>
  </si>
  <si>
    <t>&lt;Job/Proposal/Opportunity Number&gt;</t>
  </si>
  <si>
    <t>&lt;Job/Proposal/Opportunity Name&gt;</t>
  </si>
  <si>
    <t>&lt;Instructing Client&gt;</t>
  </si>
  <si>
    <t>&lt;JUM&gt;</t>
  </si>
  <si>
    <t>&lt;Department&gt;</t>
  </si>
  <si>
    <t>&lt;Subteam&gt;</t>
  </si>
  <si>
    <t>&lt;Service Type&gt;</t>
  </si>
  <si>
    <t>&lt;Finance Year&gt;</t>
  </si>
  <si>
    <t>&lt;Weighting %&gt;</t>
  </si>
  <si>
    <t>&lt;TOTALACTUAL + PIPELINE&gt;</t>
  </si>
  <si>
    <t>&lt;Apr&gt;</t>
  </si>
  <si>
    <t>&lt;May&gt;</t>
  </si>
  <si>
    <t>&lt;Jun&gt;</t>
  </si>
  <si>
    <t>&lt;Jul&gt;</t>
  </si>
  <si>
    <t>&lt;Aug&gt;</t>
  </si>
  <si>
    <t>&lt;Sep&gt;</t>
  </si>
  <si>
    <t>&lt;Oct&gt;</t>
  </si>
  <si>
    <t>&lt;Nov&gt;</t>
  </si>
  <si>
    <t>&lt;Dec&gt;</t>
  </si>
  <si>
    <t>&lt;Jan&gt;</t>
  </si>
  <si>
    <t>&lt;Feb&gt;</t>
  </si>
  <si>
    <t>&lt;Mar&gt;</t>
  </si>
  <si>
    <t>&lt;forecastkey&gt;</t>
  </si>
  <si>
    <t>&lt;expected_fee_internal_id&gt;</t>
  </si>
  <si>
    <t>&lt;recordid&gt;</t>
  </si>
  <si>
    <t>&lt;record_type&gt;</t>
  </si>
  <si>
    <t>User</t>
  </si>
  <si>
    <t>Weighting</t>
  </si>
  <si>
    <t>&lt;User&gt;</t>
  </si>
  <si>
    <t>&lt;Apr_1&gt;</t>
  </si>
  <si>
    <t>&lt;May_1&gt;</t>
  </si>
  <si>
    <t>&lt;Jun_1&gt;</t>
  </si>
  <si>
    <t>&lt;Jul_1&gt;</t>
  </si>
  <si>
    <t>&lt;Aug_1&gt;</t>
  </si>
  <si>
    <t>&lt;Sep_1&gt;</t>
  </si>
  <si>
    <t>&lt;Oct_1&gt;</t>
  </si>
  <si>
    <t>&lt;Nov_1&gt;</t>
  </si>
  <si>
    <t>&lt;Dec_1&gt;</t>
  </si>
  <si>
    <t>&lt;Jan_1&gt;</t>
  </si>
  <si>
    <t>&lt;Feb_1&gt;</t>
  </si>
  <si>
    <t>&lt;Mar_1&gt;</t>
  </si>
  <si>
    <t>&lt;Weighted&gt;</t>
  </si>
  <si>
    <t>&lt;Midpoint&gt;</t>
  </si>
  <si>
    <t>Comments</t>
  </si>
  <si>
    <t>Total</t>
  </si>
  <si>
    <t>Job/Proposal/ Opportunity Number</t>
  </si>
  <si>
    <t>Job/Proposal/ Opportunity Name</t>
  </si>
  <si>
    <t>LineStatus</t>
  </si>
  <si>
    <t>ColumnName</t>
  </si>
  <si>
    <t>CurrentValue</t>
  </si>
  <si>
    <t>OriginalValue</t>
  </si>
  <si>
    <t>LogTimestamp</t>
  </si>
  <si>
    <t>ModifiedBy</t>
  </si>
  <si>
    <t>&lt;deleterow&gt;</t>
  </si>
  <si>
    <t>row_id</t>
  </si>
  <si>
    <t>Job number</t>
  </si>
  <si>
    <t>Job internal ID</t>
  </si>
  <si>
    <t>Probability</t>
  </si>
  <si>
    <t>FY</t>
  </si>
  <si>
    <t>&lt;Total billed to date £&gt;</t>
  </si>
  <si>
    <t>&lt;row_id&gt;</t>
  </si>
  <si>
    <t>&lt;JUM_2&gt;</t>
  </si>
  <si>
    <t>Opportunity number</t>
  </si>
  <si>
    <t>Opportunity internal ID</t>
  </si>
  <si>
    <t>row_hash</t>
  </si>
  <si>
    <t>Jonathan Penuliar</t>
  </si>
  <si>
    <t>Stewart Clark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</si>
</sst>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£&quot;#,##0.00;[Red]&quot;£&quot;#,##0.00"/>
  </numFmts>
  <fonts count="5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1" applyFont="1"/>
    <xf numFmtId="164" fontId="2" fillId="0" borderId="0" xfId="0" applyNumberFormat="1" applyFont="1" applyAlignment="1">
      <alignment horizontal="center" vertical="center" wrapText="1"/>
    </xf>
    <xf numFmtId="164" fontId="0" fillId="0" borderId="0" xfId="0" applyNumberFormat="1"/>
    <xf numFmtId="9" fontId="2" fillId="0" borderId="0" xfId="1" applyFont="1" applyAlignment="1">
      <alignment horizontal="center" vertical="center" wrapText="1"/>
    </xf>
    <xf numFmtId="22" fontId="0" fillId="0" borderId="0" xfId="0" applyNumberFormat="1"/>
    <xf numFmtId="9" fontId="0" fillId="0" borderId="0" xfId="0" applyNumberFormat="1"/>
    <xf numFmtId="0" fontId="2" fillId="0" borderId="0" xfId="0" applyFont="1"/>
    <xf numFmtId="0" fontId="0" fillId="0" borderId="0" xfId="0" applyAlignment="1">
      <alignment horizontal="center" vertical="center" wrapText="1"/>
    </xf>
    <xf numFmtId="0" fontId="4" fillId="0" borderId="0" xfId="0" applyFont="1"/>
    <xf numFmtId="0" fontId="4" fillId="2" borderId="0" xfId="0" applyFont="1" applyFill="1"/>
    <xf numFmtId="164" fontId="4" fillId="0" borderId="0" xfId="0" applyNumberFormat="1" applyFont="1"/>
    <xf numFmtId="9" fontId="4" fillId="2" borderId="0" xfId="1" applyFont="1" applyFill="1" applyAlignment="1"/>
    <xf numFmtId="0" fontId="4" fillId="0" borderId="0" xfId="0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148">
    <dxf>
      <numFmt numFmtId="27" formatCode="dd/mm/yyyy\ hh:mm"/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3" formatCode="0%"/>
      <fill>
        <patternFill patternType="solid">
          <fgColor indexed="64"/>
          <bgColor theme="5" tint="0.79998168889431442"/>
        </patternFill>
      </fill>
      <alignment textRotation="0" wrapText="0" indent="0" justifyLastLine="0" shrinkToFit="0" readingOrder="0"/>
    </dxf>
    <dxf>
      <numFmt numFmtId="13" formatCode="0%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4" formatCode="&quot;£&quot;#,##0.00;[Red]&quot;£&quot;#,##0.00"/>
    </dxf>
    <dxf>
      <numFmt numFmtId="164" formatCode="&quot;£&quot;#,##0.00;[Red]&quot;£&quot;#,##0.00"/>
    </dxf>
    <dxf>
      <numFmt numFmtId="164" formatCode="&quot;£&quot;#,##0.00;[Red]&quot;£&quot;#,##0.00"/>
    </dxf>
    <dxf>
      <numFmt numFmtId="164" formatCode="&quot;£&quot;#,##0.00;[Red]&quot;£&quot;#,##0.00"/>
    </dxf>
    <dxf>
      <numFmt numFmtId="164" formatCode="&quot;£&quot;#,##0.00;[Red]&quot;£&quot;#,##0.00"/>
    </dxf>
    <dxf>
      <numFmt numFmtId="164" formatCode="&quot;£&quot;#,##0.00;[Red]&quot;£&quot;#,##0.00"/>
    </dxf>
    <dxf>
      <numFmt numFmtId="164" formatCode="&quot;£&quot;#,##0.00;[Red]&quot;£&quot;#,##0.00"/>
    </dxf>
    <dxf>
      <numFmt numFmtId="164" formatCode="&quot;£&quot;#,##0.00;[Red]&quot;£&quot;#,##0.00"/>
    </dxf>
    <dxf>
      <numFmt numFmtId="164" formatCode="&quot;£&quot;#,##0.00;[Red]&quot;£&quot;#,##0.00"/>
    </dxf>
    <dxf>
      <numFmt numFmtId="164" formatCode="&quot;£&quot;#,##0.00;[Red]&quot;£&quot;#,##0.00"/>
    </dxf>
    <dxf>
      <numFmt numFmtId="164" formatCode="&quot;£&quot;#,##0.00;[Red]&quot;£&quot;#,##0.00"/>
    </dxf>
    <dxf>
      <numFmt numFmtId="164" formatCode="&quot;£&quot;#,##0.00;[Red]&quot;£&quot;#,##0.00"/>
    </dxf>
    <dxf>
      <numFmt numFmtId="164" formatCode="&quot;£&quot;#,##0.00;[Red]&quot;£&quot;#,##0.00"/>
    </dxf>
    <dxf>
      <numFmt numFmtId="164" formatCode="&quot;£&quot;#,##0.00;[Red]&quot;£&quot;#,##0.00"/>
    </dxf>
    <dxf>
      <numFmt numFmtId="164" formatCode="&quot;£&quot;#,##0.00;[Red]&quot;£&quot;#,##0.00"/>
    </dxf>
    <dxf>
      <numFmt numFmtId="164" formatCode="&quot;£&quot;#,##0.00;[Red]&quot;£&quot;#,##0.0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4" formatCode="&quot;£&quot;#,##0.00;[Red]&quot;£&quot;#,##0.00"/>
    </dxf>
    <dxf>
      <numFmt numFmtId="164" formatCode="&quot;£&quot;#,##0.00;[Red]&quot;£&quot;#,##0.00"/>
    </dxf>
    <dxf>
      <numFmt numFmtId="164" formatCode="&quot;£&quot;#,##0.00;[Red]&quot;£&quot;#,##0.00"/>
    </dxf>
    <dxf>
      <numFmt numFmtId="164" formatCode="&quot;£&quot;#,##0.00;[Red]&quot;£&quot;#,##0.00"/>
    </dxf>
    <dxf>
      <numFmt numFmtId="164" formatCode="&quot;£&quot;#,##0.00;[Red]&quot;£&quot;#,##0.00"/>
    </dxf>
    <dxf>
      <numFmt numFmtId="164" formatCode="&quot;£&quot;#,##0.00;[Red]&quot;£&quot;#,##0.00"/>
    </dxf>
    <dxf>
      <numFmt numFmtId="164" formatCode="&quot;£&quot;#,##0.00;[Red]&quot;£&quot;#,##0.00"/>
    </dxf>
    <dxf>
      <numFmt numFmtId="164" formatCode="&quot;£&quot;#,##0.00;[Red]&quot;£&quot;#,##0.00"/>
    </dxf>
    <dxf>
      <numFmt numFmtId="164" formatCode="&quot;£&quot;#,##0.00;[Red]&quot;£&quot;#,##0.00"/>
    </dxf>
    <dxf>
      <numFmt numFmtId="164" formatCode="&quot;£&quot;#,##0.00;[Red]&quot;£&quot;#,##0.00"/>
    </dxf>
    <dxf>
      <numFmt numFmtId="164" formatCode="&quot;£&quot;#,##0.00;[Red]&quot;£&quot;#,##0.00"/>
    </dxf>
    <dxf>
      <numFmt numFmtId="164" formatCode="&quot;£&quot;#,##0.00;[Red]&quot;£&quot;#,##0.00"/>
    </dxf>
    <dxf>
      <numFmt numFmtId="164" formatCode="&quot;£&quot;#,##0.00;[Red]&quot;£&quot;#,##0.00"/>
    </dxf>
    <dxf>
      <numFmt numFmtId="164" formatCode="&quot;£&quot;#,##0.00;[Red]&quot;£&quot;#,##0.00"/>
    </dxf>
    <dxf>
      <numFmt numFmtId="164" formatCode="&quot;£&quot;#,##0.00;[Red]&quot;£&quot;#,##0.00"/>
    </dxf>
    <dxf>
      <numFmt numFmtId="164" formatCode="&quot;£&quot;#,##0.00;[Red]&quot;£&quot;#,##0.0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&quot;£&quot;#,##0.00;[Red]&quot;£&quot;#,##0.00"/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&quot;£&quot;#,##0.00;[Red]&quot;£&quot;#,##0.00"/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&quot;£&quot;#,##0.00;[Red]&quot;£&quot;#,##0.00"/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&quot;£&quot;#,##0.00;[Red]&quot;£&quot;#,##0.00"/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&quot;£&quot;#,##0.00;[Red]&quot;£&quot;#,##0.00"/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&quot;£&quot;#,##0.00;[Red]&quot;£&quot;#,##0.00"/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&quot;£&quot;#,##0.00;[Red]&quot;£&quot;#,##0.00"/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&quot;£&quot;#,##0.00;[Red]&quot;£&quot;#,##0.00"/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&quot;£&quot;#,##0.00;[Red]&quot;£&quot;#,##0.00"/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&quot;£&quot;#,##0.00;[Red]&quot;£&quot;#,##0.00"/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&quot;£&quot;#,##0.00;[Red]&quot;£&quot;#,##0.00"/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&quot;£&quot;#,##0.00;[Red]&quot;£&quot;#,##0.00"/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&quot;£&quot;#,##0.00;[Red]&quot;£&quot;#,##0.00"/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&quot;£&quot;#,##0.00;[Red]&quot;£&quot;#,##0.00"/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&quot;£&quot;#,##0.00;[Red]&quot;£&quot;#,##0.00"/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5" tint="0.79998168889431442"/>
        </patternFill>
      </fill>
      <alignment textRotation="0" wrapText="0" indent="0" justifyLastLine="0" shrinkToFit="0" readingOrder="0"/>
    </dxf>
    <dxf>
      <numFmt numFmtId="13" formatCode="0%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&quot;£&quot;#,##0.00;[Red]&quot;£&quot;#,##0.00"/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5" tint="0.79998168889431442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u val="none"/>
        <sz val="11"/>
        <color theme="1"/>
        <name val="Calibri"/>
        <family val="2"/>
      </font>
    </dxf>
    <dxf>
      <font>
        <b val="0"/>
        <i val="0"/>
        <strike val="0"/>
        <u val="none"/>
        <sz val="11"/>
        <color theme="1"/>
        <name val="Calibri"/>
        <family val="2"/>
      </font>
    </dxf>
    <dxf>
      <font>
        <b val="0"/>
        <i val="0"/>
        <strike val="0"/>
        <u val="none"/>
        <sz val="11"/>
        <color theme="1"/>
        <name val="Calibri"/>
        <family val="2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&quot;£&quot;#,##0.00;[Red]&quot;£&quot;#,##0.00"/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&quot;£&quot;#,##0.00;[Red]&quot;£&quot;#,##0.00"/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&quot;£&quot;#,##0.00;[Red]&quot;£&quot;#,##0.00"/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&quot;£&quot;#,##0.00;[Red]&quot;£&quot;#,##0.00"/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&quot;£&quot;#,##0.00;[Red]&quot;£&quot;#,##0.00"/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&quot;£&quot;#,##0.00;[Red]&quot;£&quot;#,##0.00"/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&quot;£&quot;#,##0.00;[Red]&quot;£&quot;#,##0.00"/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&quot;£&quot;#,##0.00;[Red]&quot;£&quot;#,##0.00"/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&quot;£&quot;#,##0.00;[Red]&quot;£&quot;#,##0.00"/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&quot;£&quot;#,##0.00;[Red]&quot;£&quot;#,##0.00"/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&quot;£&quot;#,##0.00;[Red]&quot;£&quot;#,##0.00"/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&quot;£&quot;#,##0.00;[Red]&quot;£&quot;#,##0.00"/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&quot;£&quot;#,##0.00;[Red]&quot;£&quot;#,##0.00"/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&quot;£&quot;#,##0.00;[Red]&quot;£&quot;#,##0.00"/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&quot;£&quot;#,##0.00;[Red]&quot;£&quot;#,##0.00"/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&quot;£&quot;#,##0.00;[Red]&quot;£&quot;#,##0.00"/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border>
        <left style="thin">
          <color theme="4"/>
        </left>
      </border>
    </dxf>
    <dxf>
      <border>
        <left style="thin">
          <color theme="4"/>
        </left>
      </border>
    </dxf>
    <dxf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fill>
        <patternFill>
          <bgColor theme="2"/>
        </patternFill>
      </fill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Light9 2" defaultPivotStyle="PivotStyleLight16">
    <tableStyle name="TableStyleLight9 2" pivot="0" count="9" xr9:uid="{3C288E5A-2DC8-40B7-8626-4E8A4E921761}">
      <tableStyleElement type="wholeTable" dxfId="147"/>
      <tableStyleElement type="headerRow" dxfId="146"/>
      <tableStyleElement type="totalRow" dxfId="145"/>
      <tableStyleElement type="firstColumn" dxfId="144"/>
      <tableStyleElement type="lastColumn" dxfId="143"/>
      <tableStyleElement type="firstRowStripe" dxfId="142"/>
      <tableStyleElement type="secondRowStripe" dxfId="141"/>
      <tableStyleElement type="firstColumnStripe" dxfId="140"/>
      <tableStyleElement type="secondColumnStripe" dxfId="13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54758E98-C778-4F04-ACEE-C8E3E311BF71}" autoFormatId="16" applyNumberFormats="0" applyBorderFormats="0" applyFontFormats="0" applyPatternFormats="0" applyAlignmentFormats="0" applyWidthHeightFormats="0">
  <queryTableRefresh nextId="63">
    <queryTableFields count="16">
      <queryTableField id="3" name="expected_fee_internal_id" tableColumnId="3"/>
      <queryTableField id="4" name="recordid" tableColumnId="4"/>
      <queryTableField id="47" name="Job/Proposal/ Opportunity Number" tableColumnId="2"/>
      <queryTableField id="6" name="record_type" tableColumnId="6"/>
      <queryTableField id="24" name="JUM" tableColumnId="21"/>
      <queryTableField id="8" name="Department" tableColumnId="8"/>
      <queryTableField id="9" name="Subteam" tableColumnId="9"/>
      <queryTableField id="19" name="Service Type" tableColumnId="19"/>
      <queryTableField id="20" name="Finance Year" tableColumnId="20"/>
      <queryTableField id="12" name="LineStatus" tableColumnId="12"/>
      <queryTableField id="13" name="ColumnName" tableColumnId="13"/>
      <queryTableField id="14" name="CurrentValue" tableColumnId="14"/>
      <queryTableField id="15" name="OriginalValue" tableColumnId="15"/>
      <queryTableField id="16" name="LogTimestamp" tableColumnId="16"/>
      <queryTableField id="17" name="ModifiedBy" tableColumnId="17"/>
      <queryTableField id="45" name="row_hash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4" xr16:uid="{E729C35D-963F-46A6-828E-0AD9B7EE33A9}" autoFormatId="16" applyNumberFormats="0" applyBorderFormats="0" applyFontFormats="0" applyPatternFormats="0" applyAlignmentFormats="0" applyWidthHeightFormats="0">
  <queryTableRefresh nextId="26">
    <queryTableFields count="21">
      <queryTableField id="1" name="expected_fee_internal_id" tableColumnId="1"/>
      <queryTableField id="22" name="Opportunity number" tableColumnId="2"/>
      <queryTableField id="23" name="Opportunity internal ID" tableColumnId="3"/>
      <queryTableField id="4" name="JUM" tableColumnId="4"/>
      <queryTableField id="5" name="Department" tableColumnId="5"/>
      <queryTableField id="6" name="Subteam" tableColumnId="6"/>
      <queryTableField id="7" name="Service Type" tableColumnId="7"/>
      <queryTableField id="8" name="Probability" tableColumnId="8"/>
      <queryTableField id="9" name="FY" tableColumnId="9"/>
      <queryTableField id="10" name="Apr" tableColumnId="10"/>
      <queryTableField id="11" name="May" tableColumnId="11"/>
      <queryTableField id="12" name="Jun" tableColumnId="12"/>
      <queryTableField id="13" name="Jul" tableColumnId="13"/>
      <queryTableField id="14" name="Aug" tableColumnId="14"/>
      <queryTableField id="15" name="Sep" tableColumnId="15"/>
      <queryTableField id="16" name="Oct" tableColumnId="16"/>
      <queryTableField id="17" name="Nov" tableColumnId="17"/>
      <queryTableField id="18" name="Dec" tableColumnId="18"/>
      <queryTableField id="19" name="Jan" tableColumnId="19"/>
      <queryTableField id="20" name="Feb" tableColumnId="20"/>
      <queryTableField id="21" name="Mar" tableColumnId="2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F9C7A48A-37E2-4BA7-9DBC-B06C1CAFD55B}" autoFormatId="16" applyNumberFormats="0" applyBorderFormats="0" applyFontFormats="0" applyPatternFormats="0" applyAlignmentFormats="0" applyWidthHeightFormats="0">
  <queryTableRefresh nextId="22">
    <queryTableFields count="21">
      <queryTableField id="1" name="expected_fee_internal_id" tableColumnId="1"/>
      <queryTableField id="2" name="Opportunity number" tableColumnId="2"/>
      <queryTableField id="3" name="Opportunity internal ID" tableColumnId="3"/>
      <queryTableField id="4" name="JUM" tableColumnId="4"/>
      <queryTableField id="5" name="Department" tableColumnId="5"/>
      <queryTableField id="6" name="Subteam" tableColumnId="6"/>
      <queryTableField id="7" name="Service Type" tableColumnId="7"/>
      <queryTableField id="8" name="Probability" tableColumnId="8"/>
      <queryTableField id="9" name="FY" tableColumnId="9"/>
      <queryTableField id="10" name="Apr" tableColumnId="10"/>
      <queryTableField id="11" name="May" tableColumnId="11"/>
      <queryTableField id="12" name="Jun" tableColumnId="12"/>
      <queryTableField id="13" name="Jul" tableColumnId="13"/>
      <queryTableField id="14" name="Aug" tableColumnId="14"/>
      <queryTableField id="15" name="Sep" tableColumnId="15"/>
      <queryTableField id="16" name="Oct" tableColumnId="16"/>
      <queryTableField id="17" name="Nov" tableColumnId="17"/>
      <queryTableField id="18" name="Dec" tableColumnId="18"/>
      <queryTableField id="19" name="Jan" tableColumnId="19"/>
      <queryTableField id="20" name="Feb" tableColumnId="20"/>
      <queryTableField id="21" name="Mar" tableColumnId="2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D71C2404-9F91-4224-B503-4453E799FE60}" autoFormatId="16" applyNumberFormats="0" applyBorderFormats="0" applyFontFormats="0" applyPatternFormats="0" applyAlignmentFormats="0" applyWidthHeightFormats="0">
  <queryTableRefresh nextId="22">
    <queryTableFields count="21">
      <queryTableField id="1" name="expected_fee_internal_id" tableColumnId="1"/>
      <queryTableField id="2" name="Job number" tableColumnId="2"/>
      <queryTableField id="3" name="Job internal ID" tableColumnId="3"/>
      <queryTableField id="4" name="JUM" tableColumnId="4"/>
      <queryTableField id="5" name="Department" tableColumnId="5"/>
      <queryTableField id="6" name="Subteam" tableColumnId="6"/>
      <queryTableField id="7" name="Service Type" tableColumnId="7"/>
      <queryTableField id="8" name="Probability" tableColumnId="8"/>
      <queryTableField id="9" name="FY" tableColumnId="9"/>
      <queryTableField id="10" name="Apr" tableColumnId="10"/>
      <queryTableField id="11" name="May" tableColumnId="11"/>
      <queryTableField id="12" name="Jun" tableColumnId="12"/>
      <queryTableField id="13" name="Jul" tableColumnId="13"/>
      <queryTableField id="14" name="Aug" tableColumnId="14"/>
      <queryTableField id="15" name="Sep" tableColumnId="15"/>
      <queryTableField id="16" name="Oct" tableColumnId="16"/>
      <queryTableField id="17" name="Nov" tableColumnId="17"/>
      <queryTableField id="18" name="Dec" tableColumnId="18"/>
      <queryTableField id="19" name="Jan" tableColumnId="19"/>
      <queryTableField id="20" name="Feb" tableColumnId="20"/>
      <queryTableField id="21" name="Mar" tableColumnId="2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80CCBD7C-A312-4D5F-82BE-BBF8BE6473E3}" autoFormatId="16" applyNumberFormats="0" applyBorderFormats="0" applyFontFormats="0" applyPatternFormats="0" applyAlignmentFormats="0" applyWidthHeightFormats="0">
  <queryTableRefresh nextId="40">
    <queryTableFields count="21">
      <queryTableField id="2" name="expected_fee_internal_id" tableColumnId="2"/>
      <queryTableField id="20" name="Job number" tableColumnId="18"/>
      <queryTableField id="21" name="Job internal ID" tableColumnId="19"/>
      <queryTableField id="22" name="JUM" tableColumnId="20"/>
      <queryTableField id="7" name="Department" tableColumnId="7"/>
      <queryTableField id="8" name="Subteam" tableColumnId="8"/>
      <queryTableField id="9" name="Service Type" tableColumnId="9"/>
      <queryTableField id="23" name="Probability" tableColumnId="21"/>
      <queryTableField id="24" name="FY" tableColumnId="22"/>
      <queryTableField id="25" name="Apr" tableColumnId="23"/>
      <queryTableField id="26" name="May" tableColumnId="24"/>
      <queryTableField id="27" name="Jun" tableColumnId="25"/>
      <queryTableField id="28" name="Jul" tableColumnId="26"/>
      <queryTableField id="29" name="Aug" tableColumnId="27"/>
      <queryTableField id="30" name="Sep" tableColumnId="28"/>
      <queryTableField id="31" name="Oct" tableColumnId="29"/>
      <queryTableField id="32" name="Nov" tableColumnId="30"/>
      <queryTableField id="33" name="Dec" tableColumnId="31"/>
      <queryTableField id="34" name="Jan" tableColumnId="32"/>
      <queryTableField id="35" name="Feb" tableColumnId="33"/>
      <queryTableField id="36" name="Mar" tableColumnId="34"/>
    </queryTableFields>
  </queryTableRefresh>
</queryTable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78708A-F288-4861-9BFB-2470C836DB4C}" name="tblWIP" displayName="tblWIP" ref="A2:AE6" totalsRowCount="1" headerRowDxfId="138" dataDxfId="137">
  <autoFilter ref="A2:AE5" xr:uid="{7978708A-F288-4861-9BFB-2470C836DB4C}"/>
  <tableColumns count="31">
    <tableColumn id="1" xr3:uid="{D4265AE2-929C-43FE-B456-A582E326D04D}" name="Job/Proposal/ Opportunity Number" totalsRowLabel="Total" dataDxfId="136"/>
    <tableColumn id="2" xr3:uid="{BE1B59F2-BF24-4DE8-9F8C-F6EDE5D8A980}" name="Job/Proposal/ Opportunity Name" dataDxfId="135"/>
    <tableColumn id="3" xr3:uid="{ED79854B-89C9-4C97-B90E-D26E8948DE88}" name="Instructing Client" dataDxfId="134"/>
    <tableColumn id="4" xr3:uid="{323C1E7C-1824-4559-8F8A-95FFAAEB3A31}" name="JUM" dataDxfId="25">
      <calculatedColumnFormula>_xlfn.XLOOKUP(tblWIP[[#This Row],[row_id]],tblMaster[[#This Row],[row_id]],tblMaster[[#This Row],[JUM]],"")</calculatedColumnFormula>
    </tableColumn>
    <tableColumn id="5" xr3:uid="{66B89758-903E-4480-8DEA-9804F585E84F}" name="Department" dataDxfId="133"/>
    <tableColumn id="6" xr3:uid="{B21FAAC6-C77E-45E9-8976-0AC1F723AD1E}" name="Subteam" dataDxfId="132"/>
    <tableColumn id="7" xr3:uid="{0922BE91-E0D6-42C0-A8F4-84E449387200}" name="Service Type" dataDxfId="131"/>
    <tableColumn id="8" xr3:uid="{332D9821-75C8-467B-9476-FA78A1319764}" name="Finance Year" dataDxfId="130"/>
    <tableColumn id="9" xr3:uid="{4C0AFA81-BA19-4147-80BB-D787096903FE}" name="Actuals  YTD" totalsRowFunction="sum" dataDxfId="129" totalsRowDxfId="49"/>
    <tableColumn id="10" xr3:uid="{287CF805-7953-4748-A656-C0E42425F287}" name="Weighting %" dataDxfId="27" totalsRowDxfId="28" dataCellStyle="Percent">
      <calculatedColumnFormula>_xlfn.XLOOKUP(tblWIP[[#This Row],[row_id]],tblMaster[[#This Row],[row_id]],tblMaster[[#This Row],[Weighting %]])</calculatedColumnFormula>
    </tableColumn>
    <tableColumn id="11" xr3:uid="{A71EFD94-4E18-4AD7-8A88-DCDF96207019}" name="TOTAL_x000a_ACTUAL + PIPELINE" totalsRowFunction="sum" dataDxfId="128" totalsRowDxfId="48"/>
    <tableColumn id="12" xr3:uid="{80110EB6-00F9-4DE1-BF6D-F484DAB0F22A}" name="&lt;Apr_1&gt;" totalsRowFunction="sum" dataDxfId="127" totalsRowDxfId="47"/>
    <tableColumn id="13" xr3:uid="{4141AF73-3E52-4145-9686-1A45FD7C1357}" name="&lt;May_1&gt;" totalsRowFunction="sum" dataDxfId="126" totalsRowDxfId="46"/>
    <tableColumn id="14" xr3:uid="{82E310AB-FB97-46C9-A498-86E5A6AD96A4}" name="&lt;Jun_1&gt;" totalsRowFunction="sum" dataDxfId="125" totalsRowDxfId="45"/>
    <tableColumn id="15" xr3:uid="{2FEDBC92-7008-4FFD-8314-580EE381FA2A}" name="&lt;Jul_1&gt;" totalsRowFunction="sum" dataDxfId="124" totalsRowDxfId="44"/>
    <tableColumn id="16" xr3:uid="{120D9C80-D05F-4D7D-BD24-7BD44ADBB681}" name="&lt;Aug_1&gt;" totalsRowFunction="sum" dataDxfId="123" totalsRowDxfId="43"/>
    <tableColumn id="17" xr3:uid="{E5CB4961-16D8-497D-BFAE-AFA5CF4DCE80}" name="&lt;Sep_1&gt;" totalsRowFunction="sum" dataDxfId="122" totalsRowDxfId="42"/>
    <tableColumn id="18" xr3:uid="{3E93F731-C73D-46BD-8777-C453E1D4B862}" name="&lt;Oct_1&gt;" totalsRowFunction="sum" dataDxfId="121" totalsRowDxfId="41"/>
    <tableColumn id="19" xr3:uid="{F90EE563-5227-429B-9CD0-ED9A6F914E8C}" name="&lt;Nov_1&gt;" totalsRowFunction="sum" dataDxfId="120" totalsRowDxfId="40"/>
    <tableColumn id="20" xr3:uid="{440BAD9E-1709-4F43-9186-1244BCD821DF}" name="&lt;Dec_1&gt;" totalsRowFunction="sum" dataDxfId="119" totalsRowDxfId="39"/>
    <tableColumn id="21" xr3:uid="{795EEE0D-A278-4EB1-B804-30A8B484E997}" name="&lt;Jan_1&gt;" totalsRowFunction="sum" dataDxfId="118" totalsRowDxfId="38"/>
    <tableColumn id="22" xr3:uid="{36E68618-33ED-4DB9-B765-3144D56BEF9A}" name="&lt;Feb_1&gt;" totalsRowFunction="sum" dataDxfId="117" totalsRowDxfId="37"/>
    <tableColumn id="23" xr3:uid="{1EB2593A-C402-461A-9B60-6E83D4FE707E}" name="&lt;Mar_1&gt;" totalsRowFunction="sum" dataDxfId="116" totalsRowDxfId="36"/>
    <tableColumn id="30" xr3:uid="{D2379CF9-CFA8-4AA6-BB25-6AFF42DA119B}" name="Comments" dataDxfId="115"/>
    <tableColumn id="29" xr3:uid="{54E87959-DFD4-4329-B339-6B5CD2D88CE5}" name="&lt;Weighted&gt;" totalsRowFunction="sum" dataDxfId="114" totalsRowDxfId="35">
      <calculatedColumnFormula array="1">IFERROR(INDEX($L3:$W3,1,CHOOSE(MONTH(TODAY()),10,11,12,1,2,3,4,5,6,7,8,9))*J3,"")</calculatedColumnFormula>
    </tableColumn>
    <tableColumn id="28" xr3:uid="{79A4B4E9-F352-4B11-945B-8B3BFB5CFF7B}" name="&lt;Midpoint&gt;" totalsRowFunction="sum" dataDxfId="113" totalsRowDxfId="34">
      <calculatedColumnFormula array="1">IFERROR(INDEX($L3:$W3,1,CHOOSE(MONTH(TODAY()),10,11,12,1,2,3,4,5,6,7,8,9))*((J3+100%)/2),"")</calculatedColumnFormula>
    </tableColumn>
    <tableColumn id="24" xr3:uid="{9ABE3F10-44A8-4D3F-9EFD-A41A116CBF66}" name="forecastkey" dataDxfId="112" totalsRowDxfId="33"/>
    <tableColumn id="25" xr3:uid="{5C3FE7D6-1EA7-4958-8B72-E20CB4E2A68B}" name="expected_fee_internal_id" dataDxfId="111" totalsRowDxfId="32"/>
    <tableColumn id="26" xr3:uid="{B41D4EDF-4410-4CF8-9E2E-0FA0558CF5CC}" name="recordid" dataDxfId="110" totalsRowDxfId="31"/>
    <tableColumn id="27" xr3:uid="{34B3960E-5CCE-4613-9FE7-6DA7EBEE25EA}" name="record_type" dataDxfId="109" totalsRowDxfId="30"/>
    <tableColumn id="31" xr3:uid="{B6BB15CF-9ED3-44AF-8E2C-8544D8DFF7BB}" name="row_id" dataDxfId="108" totalsRowDxfId="29"/>
  </tableColumns>
  <tableStyleInfo name="TableStyleLight9 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ACDA04A-C1D0-417F-987F-4947C3706155}" name="tblMaster" displayName="tblMaster" ref="A2:AE6" totalsRowCount="1" headerRowDxfId="104" dataDxfId="103">
  <autoFilter ref="A2:AE5" xr:uid="{7978708A-F288-4861-9BFB-2470C836DB4C}"/>
  <tableColumns count="31">
    <tableColumn id="1" xr3:uid="{4FC9C85F-64C2-4810-8B58-DA68E245EE0F}" name="Job/Proposal/ Opportunity Number" totalsRowLabel="Total" dataDxfId="102"/>
    <tableColumn id="2" xr3:uid="{1F75FD7C-5FD8-4376-9AB4-D437CEF62CEA}" name="Job/Proposal/ Opportunity Name" dataDxfId="101"/>
    <tableColumn id="3" xr3:uid="{A12D272D-DD6B-4A40-B5A0-CDCD11718DE4}" name="Instructing Client" dataDxfId="100"/>
    <tableColumn id="4" xr3:uid="{0F2DE4EB-57B1-4181-958D-61FBDC489D52}" name="JUM" dataDxfId="99"/>
    <tableColumn id="5" xr3:uid="{088177D4-6CA8-441D-927D-4E4588508D81}" name="Department" dataDxfId="98"/>
    <tableColumn id="6" xr3:uid="{001F5EEF-EBE1-4A87-81FC-6D35B313507B}" name="Subteam" dataDxfId="97"/>
    <tableColumn id="7" xr3:uid="{F1C77705-970B-4DFF-B10E-548F0C5CEFEA}" name="Service Type" dataDxfId="96"/>
    <tableColumn id="8" xr3:uid="{72886CB2-29B0-4DAC-AC3F-7C90C5A3037E}" name="Finance Year" dataDxfId="95"/>
    <tableColumn id="9" xr3:uid="{DA36E82B-26AC-4FCA-B79D-0C816EA1F9E8}" name="Actuals  YTD" totalsRowFunction="sum" dataDxfId="94" totalsRowDxfId="70"/>
    <tableColumn id="10" xr3:uid="{B62582A1-59C7-4172-B9AF-06D4BD587674}" name="Weighting %" dataDxfId="92" totalsRowDxfId="93" dataCellStyle="Percent"/>
    <tableColumn id="11" xr3:uid="{B2819F8B-A237-4BFB-9DCA-EAB772A795CB}" name="TOTAL_x000a_ACTUAL + PIPELINE" totalsRowFunction="sum" dataDxfId="91" totalsRowDxfId="69"/>
    <tableColumn id="12" xr3:uid="{39E0D18B-0759-45A6-B2CF-15607508FCAF}" name="&lt;Apr_1&gt;" totalsRowFunction="sum" dataDxfId="90" totalsRowDxfId="68"/>
    <tableColumn id="13" xr3:uid="{A7326653-5217-4DE6-A7A1-37233234C743}" name="&lt;May_1&gt;" totalsRowFunction="sum" dataDxfId="89" totalsRowDxfId="67"/>
    <tableColumn id="14" xr3:uid="{82F5319C-268B-4EDE-96BE-2D6DB3B22C04}" name="&lt;Jun_1&gt;" totalsRowFunction="sum" dataDxfId="88" totalsRowDxfId="66"/>
    <tableColumn id="15" xr3:uid="{BFDD586F-957E-4B51-A66C-386CD189F6AE}" name="&lt;Jul_1&gt;" totalsRowFunction="sum" dataDxfId="87" totalsRowDxfId="65"/>
    <tableColumn id="16" xr3:uid="{BEE97808-D1EE-439A-A435-AF0A296519B2}" name="&lt;Aug_1&gt;" totalsRowFunction="sum" dataDxfId="86" totalsRowDxfId="64"/>
    <tableColumn id="17" xr3:uid="{EF0869CD-6550-435E-8F38-D2BE1C5F9475}" name="&lt;Sep_1&gt;" totalsRowFunction="sum" dataDxfId="85" totalsRowDxfId="63"/>
    <tableColumn id="18" xr3:uid="{62525001-6151-4B4C-BCE6-3AC3C77662F6}" name="&lt;Oct_1&gt;" totalsRowFunction="sum" dataDxfId="84" totalsRowDxfId="62"/>
    <tableColumn id="19" xr3:uid="{5AC04F32-50A1-453E-887B-92780F7AFE06}" name="&lt;Nov_1&gt;" totalsRowFunction="sum" dataDxfId="83" totalsRowDxfId="61"/>
    <tableColumn id="20" xr3:uid="{2329DC6B-27D3-4C9D-AC97-0C7D8653E286}" name="&lt;Dec_1&gt;" totalsRowFunction="sum" dataDxfId="82" totalsRowDxfId="60"/>
    <tableColumn id="21" xr3:uid="{9EEF070B-107B-4DBF-BAFC-67E9C24332BC}" name="&lt;Jan_1&gt;" totalsRowFunction="sum" dataDxfId="81" totalsRowDxfId="59"/>
    <tableColumn id="22" xr3:uid="{0D518EDB-088E-4B37-BFEE-388CB5C26692}" name="&lt;Feb_1&gt;" totalsRowFunction="sum" dataDxfId="80" totalsRowDxfId="58"/>
    <tableColumn id="23" xr3:uid="{366E46C7-48BF-4889-98E5-CC75BAE71B47}" name="&lt;Mar_1&gt;" totalsRowFunction="sum" dataDxfId="79" totalsRowDxfId="57"/>
    <tableColumn id="30" xr3:uid="{66DF8AEC-87C5-4AF7-9467-D97798B6C0AE}" name="Comments" dataDxfId="78"/>
    <tableColumn id="29" xr3:uid="{E3C007CE-7BA9-4DAF-A8AB-09DD13C8306D}" name="&lt;Weighted&gt;" totalsRowFunction="sum" dataDxfId="77" totalsRowDxfId="56">
      <calculatedColumnFormula array="1">IFERROR(INDEX($L3:$W3,1,CHOOSE(MONTH(TODAY()),10,11,12,1,2,3,4,5,6,7,8,9))*J4,"")</calculatedColumnFormula>
    </tableColumn>
    <tableColumn id="28" xr3:uid="{9B7F2434-609F-4C1F-AD87-6A82171B8BB2}" name="&lt;Midpoint&gt;" totalsRowFunction="sum" dataDxfId="76" totalsRowDxfId="55">
      <calculatedColumnFormula array="1">IFERROR(INDEX($L3:$W3,1,CHOOSE(MONTH(TODAY()),10,11,12,1,2,3,4,5,6,7,8,9))*((J4+100%)/2),"")</calculatedColumnFormula>
    </tableColumn>
    <tableColumn id="24" xr3:uid="{787EF97A-3864-483E-9F56-E2536B699DA4}" name="forecastkey" dataDxfId="75" totalsRowDxfId="54"/>
    <tableColumn id="25" xr3:uid="{9D7079E6-13EE-4A6D-820E-7A04EB39FF4E}" name="expected_fee_internal_id" dataDxfId="74" totalsRowDxfId="53"/>
    <tableColumn id="26" xr3:uid="{852A9BA6-F0C1-4424-B144-9DD9B8E4F4E4}" name="recordid" dataDxfId="73" totalsRowDxfId="52"/>
    <tableColumn id="27" xr3:uid="{72E8EA5F-B549-4EAA-A7F2-4721CBBFEE4B}" name="record_type" dataDxfId="72" totalsRowDxfId="51"/>
    <tableColumn id="31" xr3:uid="{51539845-A66B-4955-8D4B-904EB84538F6}" name="row_id" dataDxfId="71" totalsRowDxfId="50"/>
  </tableColumns>
  <tableStyleInfo name="TableStyleLight9 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8505C0-DAEF-426E-BDF8-AD54035CA171}" name="tblUser" displayName="tblUser" ref="B1:B2" totalsRowShown="0">
  <autoFilter ref="B1:B2" xr:uid="{0D8505C0-DAEF-426E-BDF8-AD54035CA171}"/>
  <tableColumns count="1">
    <tableColumn id="1" xr3:uid="{18F8BAE5-479C-4A13-A4A7-0F3F70DBCA09}" name="User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AC39994-A2E4-4098-AC42-FD9146EC3E5E}" name="TableWeighting" displayName="TableWeighting" ref="B5:B11" totalsRowShown="0" headerRowDxfId="107" dataDxfId="106" headerRowCellStyle="Percent" dataCellStyle="Percent">
  <autoFilter ref="B5:B11" xr:uid="{0AC39994-A2E4-4098-AC42-FD9146EC3E5E}"/>
  <tableColumns count="1">
    <tableColumn id="1" xr3:uid="{F0910BA2-9009-493C-804E-A5336E7AC527}" name="Weighting" dataDxfId="105" dataCellStyle="Percent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3B23F6C-729B-4BF0-8C26-028C0D872037}" name="TableJUM" displayName="TableJUM" ref="B14:B15" totalsRowShown="0" headerRowDxfId="26">
  <autoFilter ref="B14:B15" xr:uid="{93B23F6C-729B-4BF0-8C26-028C0D872037}"/>
  <tableColumns count="1">
    <tableColumn id="1" xr3:uid="{BFD30B72-E83D-45CE-BC32-FA6AA4DF34E4}" name="JUM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BA056A2-6A41-463B-9AE8-8168A609CD24}" name="audit_expected_fees" displayName="audit_expected_fees" ref="A2:P3" tableType="queryTable" insertRow="1" totalsRowShown="0">
  <autoFilter ref="A2:P3" xr:uid="{0BA056A2-6A41-463B-9AE8-8168A609CD24}"/>
  <tableColumns count="16">
    <tableColumn id="3" xr3:uid="{3C646C88-F930-4701-BC6D-33B2CDD46026}" uniqueName="3" name="expected_fee_internal_id" queryTableFieldId="3"/>
    <tableColumn id="4" xr3:uid="{2FB0ACC0-0EBC-4FA3-B6F8-7F8514361C1C}" uniqueName="4" name="recordid" queryTableFieldId="4"/>
    <tableColumn id="2" xr3:uid="{23F825CF-6BE2-42A4-BB75-0E1E43808B3E}" uniqueName="2" name="Job/Proposal/ Opportunity Number" queryTableFieldId="47"/>
    <tableColumn id="6" xr3:uid="{F116C316-4F1B-4244-ABCB-6740709DE895}" uniqueName="6" name="record_type" queryTableFieldId="6"/>
    <tableColumn id="21" xr3:uid="{A324083E-335F-4FA5-9602-2364FD3B94AC}" uniqueName="21" name="JUM" queryTableFieldId="24"/>
    <tableColumn id="8" xr3:uid="{DEBD699F-C18E-428F-90FD-313777FF365A}" uniqueName="8" name="Department" queryTableFieldId="8"/>
    <tableColumn id="9" xr3:uid="{69E0BEB5-E992-43C2-8F62-27AB1F212B43}" uniqueName="9" name="Subteam" queryTableFieldId="9"/>
    <tableColumn id="19" xr3:uid="{6AC0E732-132D-4DF6-B6E9-C31A76020265}" uniqueName="19" name="Service Type" queryTableFieldId="19"/>
    <tableColumn id="20" xr3:uid="{0DB48CF4-4082-4459-8BC8-171092E7BDCD}" uniqueName="20" name="Finance Year" queryTableFieldId="20"/>
    <tableColumn id="12" xr3:uid="{6A51C275-D33F-49F8-A6ED-ABE232986BF8}" uniqueName="12" name="LineStatus" queryTableFieldId="12"/>
    <tableColumn id="13" xr3:uid="{2F42C09F-F235-4CA4-A8B3-DF7790DBF50F}" uniqueName="13" name="ColumnName" queryTableFieldId="13"/>
    <tableColumn id="14" xr3:uid="{17E8C068-5DCD-49B0-BCE6-90BA6F601673}" uniqueName="14" name="CurrentValue" queryTableFieldId="14"/>
    <tableColumn id="15" xr3:uid="{FF395599-6CB5-45ED-9212-7BDA45353370}" uniqueName="15" name="OriginalValue" queryTableFieldId="15"/>
    <tableColumn id="16" xr3:uid="{5F21B258-F3BF-4216-AE15-902308C8D726}" uniqueName="16" name="LogTimestamp" queryTableFieldId="16" dataDxfId="0"/>
    <tableColumn id="17" xr3:uid="{5244C655-93B3-42D6-A029-8CC138B4266B}" uniqueName="17" name="ModifiedBy" queryTableFieldId="17"/>
    <tableColumn id="1" xr3:uid="{6F5FDC3B-65F3-4522-80C9-C2098276CE99}" uniqueName="1" name="row_hash" queryTableFieldId="4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E578438-F0E9-4E35-B154-8BD1D0846FD8}" name="wip_oportunities_expected_fees_existing_lines" displayName="wip_oportunities_expected_fees_existing_lines" ref="A1:U2" tableType="queryTable" insertRow="1" totalsRowShown="0">
  <autoFilter ref="A1:U2" xr:uid="{BE578438-F0E9-4E35-B154-8BD1D0846FD8}"/>
  <tableColumns count="21">
    <tableColumn id="1" xr3:uid="{49949EE7-E781-4AAF-86D0-EC2C17B153B3}" uniqueName="1" name="expected_fee_internal_id" queryTableFieldId="1"/>
    <tableColumn id="2" xr3:uid="{FAEAD2A1-25A5-4F91-AD6F-2C8D5840AAA8}" uniqueName="2" name="Opportunity number" queryTableFieldId="22"/>
    <tableColumn id="3" xr3:uid="{C5CEECCF-41B0-4A92-91A5-8F4821DD4AD5}" uniqueName="3" name="Opportunity internal ID" queryTableFieldId="23"/>
    <tableColumn id="4" xr3:uid="{0572EA5F-32E1-446B-95FC-517427C8116A}" uniqueName="4" name="JUM" queryTableFieldId="4"/>
    <tableColumn id="5" xr3:uid="{55FF3238-D93B-4DEC-BD93-7CFE9C6E0F01}" uniqueName="5" name="Department" queryTableFieldId="5"/>
    <tableColumn id="6" xr3:uid="{46758080-5A5C-4597-BAF2-4C32A900A23A}" uniqueName="6" name="Subteam" queryTableFieldId="6"/>
    <tableColumn id="7" xr3:uid="{10B51876-D290-4668-A976-5BEBE83124B0}" uniqueName="7" name="Service Type" queryTableFieldId="7"/>
    <tableColumn id="8" xr3:uid="{5173868F-DC3F-4C45-8D17-4F6A54F20EF1}" uniqueName="8" name="Probability" queryTableFieldId="8"/>
    <tableColumn id="9" xr3:uid="{FA7E0DC8-32F7-4E02-8043-7E8A0BB229ED}" uniqueName="9" name="FY" queryTableFieldId="9"/>
    <tableColumn id="10" xr3:uid="{EED99960-B572-4601-96C1-6441D6BDBD50}" uniqueName="10" name="Apr" queryTableFieldId="10"/>
    <tableColumn id="11" xr3:uid="{50997F8A-588F-4ECA-9435-69A38051BAD3}" uniqueName="11" name="May" queryTableFieldId="11"/>
    <tableColumn id="12" xr3:uid="{4238FFF0-ACE9-4FF9-9082-84EE95369FE9}" uniqueName="12" name="Jun" queryTableFieldId="12"/>
    <tableColumn id="13" xr3:uid="{D11C3F25-D4FD-4B81-ADF2-0F6566FD334E}" uniqueName="13" name="Jul" queryTableFieldId="13"/>
    <tableColumn id="14" xr3:uid="{2CD149CB-0AFD-4173-9DAF-091BB62D6A3C}" uniqueName="14" name="Aug" queryTableFieldId="14"/>
    <tableColumn id="15" xr3:uid="{73488FEA-26EE-4A4B-AE43-CCE03F12089C}" uniqueName="15" name="Sep" queryTableFieldId="15"/>
    <tableColumn id="16" xr3:uid="{48C37488-3F45-427F-A3AA-413AD8ADCFB1}" uniqueName="16" name="Oct" queryTableFieldId="16"/>
    <tableColumn id="17" xr3:uid="{991E5866-D0E4-446D-96EE-5F340B0CFE9E}" uniqueName="17" name="Nov" queryTableFieldId="17"/>
    <tableColumn id="18" xr3:uid="{E531847E-B230-42FE-A8E9-6BAFE6452630}" uniqueName="18" name="Dec" queryTableFieldId="18"/>
    <tableColumn id="19" xr3:uid="{35905BD3-0C9C-4EDA-B706-00841F12D422}" uniqueName="19" name="Jan" queryTableFieldId="19"/>
    <tableColumn id="20" xr3:uid="{DE359CB1-C87C-4A59-9426-AD7A532B7147}" uniqueName="20" name="Feb" queryTableFieldId="20"/>
    <tableColumn id="21" xr3:uid="{AD6B5560-4668-4AA4-9781-71D38FE85243}" uniqueName="21" name="Mar" queryTableFieldId="21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A339DDE-A32B-4085-AB4E-D091B2E91347}" name="wip_oportunities_expected_fees_new_lines_2" displayName="wip_oportunities_expected_fees_new_lines_2" ref="A1:U2" tableType="queryTable" insertRow="1" totalsRowShown="0">
  <autoFilter ref="A1:U2" xr:uid="{7A339DDE-A32B-4085-AB4E-D091B2E91347}"/>
  <tableColumns count="21">
    <tableColumn id="1" xr3:uid="{C74CC22A-9DC5-41E1-84D5-BD2DF843B138}" uniqueName="1" name="expected_fee_internal_id" queryTableFieldId="1"/>
    <tableColumn id="2" xr3:uid="{A439A4A9-75CA-4DC2-AADC-0ADFCA93BA40}" uniqueName="2" name="Opportunity number" queryTableFieldId="2"/>
    <tableColumn id="3" xr3:uid="{F528323B-6532-4923-9792-6EE10476B23F}" uniqueName="3" name="Opportunity internal ID" queryTableFieldId="3"/>
    <tableColumn id="4" xr3:uid="{6A53B978-4961-4C92-AA7C-1BA54D61B962}" uniqueName="4" name="JUM" queryTableFieldId="4"/>
    <tableColumn id="5" xr3:uid="{CF91637D-C42D-4A8F-8CF4-2D13407C907D}" uniqueName="5" name="Department" queryTableFieldId="5"/>
    <tableColumn id="6" xr3:uid="{C4D921BB-2261-4FA4-8561-F1ED248ABF45}" uniqueName="6" name="Subteam" queryTableFieldId="6"/>
    <tableColumn id="7" xr3:uid="{D950C41A-4ABE-4C33-8B72-541A09143372}" uniqueName="7" name="Service Type" queryTableFieldId="7"/>
    <tableColumn id="8" xr3:uid="{0CF60033-7B0C-437E-8408-A6AE55BBDAB7}" uniqueName="8" name="Probability" queryTableFieldId="8"/>
    <tableColumn id="9" xr3:uid="{F8883D5D-5A82-4FDD-A2CD-A0725F78A2B6}" uniqueName="9" name="FY" queryTableFieldId="9"/>
    <tableColumn id="10" xr3:uid="{B49330B7-F612-44FC-B2E9-9FA1121D110E}" uniqueName="10" name="Apr" queryTableFieldId="10"/>
    <tableColumn id="11" xr3:uid="{0A4F008E-DE0B-40E6-8455-B2791725FA11}" uniqueName="11" name="May" queryTableFieldId="11"/>
    <tableColumn id="12" xr3:uid="{BFBA6D20-DF44-42FC-A0AA-9E7BD1B42246}" uniqueName="12" name="Jun" queryTableFieldId="12"/>
    <tableColumn id="13" xr3:uid="{2DBEDFA0-648B-4893-A305-E29C1EF52B8E}" uniqueName="13" name="Jul" queryTableFieldId="13"/>
    <tableColumn id="14" xr3:uid="{B5FD9156-CA94-47E8-AC6E-B6B85F2031DD}" uniqueName="14" name="Aug" queryTableFieldId="14"/>
    <tableColumn id="15" xr3:uid="{581CAFD0-A3A8-4440-95F9-370F20232A47}" uniqueName="15" name="Sep" queryTableFieldId="15"/>
    <tableColumn id="16" xr3:uid="{F27B0902-9236-4D1A-B791-D6D92BE72DEC}" uniqueName="16" name="Oct" queryTableFieldId="16"/>
    <tableColumn id="17" xr3:uid="{D8E1E48E-F45F-457C-838C-F9E99AAF8AB8}" uniqueName="17" name="Nov" queryTableFieldId="17"/>
    <tableColumn id="18" xr3:uid="{FC1707C8-1C07-4084-A88F-077C44729B17}" uniqueName="18" name="Dec" queryTableFieldId="18"/>
    <tableColumn id="19" xr3:uid="{5AB39808-CD57-463A-826D-C1A91B612917}" uniqueName="19" name="Jan" queryTableFieldId="19"/>
    <tableColumn id="20" xr3:uid="{D1481D22-FA19-4007-A56E-CBAD1B7832B6}" uniqueName="20" name="Feb" queryTableFieldId="20"/>
    <tableColumn id="21" xr3:uid="{7EDD2B2D-DB58-46A6-96F9-668F0EEF6E45}" uniqueName="21" name="Mar" queryTableFieldId="21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84E5345-74F4-4AD2-9C18-B35E9937368F}" name="wip_job_expected_fees_new_lines" displayName="wip_job_expected_fees_new_lines" ref="A1:U2" tableType="queryTable" insertRow="1" totalsRowShown="0">
  <autoFilter ref="A1:U2" xr:uid="{884E5345-74F4-4AD2-9C18-B35E9937368F}"/>
  <tableColumns count="21">
    <tableColumn id="1" xr3:uid="{51E6E3C6-F6F1-4492-B261-9F6E464C9A47}" uniqueName="1" name="expected_fee_internal_id" queryTableFieldId="1"/>
    <tableColumn id="2" xr3:uid="{8469047A-9FFD-4AB6-B3EC-1FCF3360E181}" uniqueName="2" name="Job number" queryTableFieldId="2"/>
    <tableColumn id="3" xr3:uid="{DD81649A-31B7-468D-9AE7-FEBF54915C0D}" uniqueName="3" name="Job internal ID" queryTableFieldId="3"/>
    <tableColumn id="4" xr3:uid="{4D94112A-22CA-42D8-978B-F8C938467309}" uniqueName="4" name="JUM" queryTableFieldId="4"/>
    <tableColumn id="5" xr3:uid="{964E9AB2-CA0D-4386-A602-215A16787720}" uniqueName="5" name="Department" queryTableFieldId="5"/>
    <tableColumn id="6" xr3:uid="{9A99C23A-9D00-42CB-91E3-DFD2424AF2A8}" uniqueName="6" name="Subteam" queryTableFieldId="6"/>
    <tableColumn id="7" xr3:uid="{70212367-ED6E-473E-81B8-39B742552F88}" uniqueName="7" name="Service Type" queryTableFieldId="7"/>
    <tableColumn id="8" xr3:uid="{3BC4671E-28BD-4A9F-8769-EFD9189A6D33}" uniqueName="8" name="Probability" queryTableFieldId="8"/>
    <tableColumn id="9" xr3:uid="{8A923A10-6213-4110-B0EA-85611933D3D2}" uniqueName="9" name="FY" queryTableFieldId="9"/>
    <tableColumn id="10" xr3:uid="{2FEC0DB4-CE6E-4E1F-A20E-97ED1FE87285}" uniqueName="10" name="Apr" queryTableFieldId="10"/>
    <tableColumn id="11" xr3:uid="{EA252857-2A40-4628-8B66-7B70280B931C}" uniqueName="11" name="May" queryTableFieldId="11"/>
    <tableColumn id="12" xr3:uid="{BAEDF2B2-1765-497D-8398-9D987EAD3801}" uniqueName="12" name="Jun" queryTableFieldId="12"/>
    <tableColumn id="13" xr3:uid="{A2385A7E-977C-405F-8505-B484CC1A1E9C}" uniqueName="13" name="Jul" queryTableFieldId="13"/>
    <tableColumn id="14" xr3:uid="{128EFF5F-5614-43AC-8849-A6D00C123EB8}" uniqueName="14" name="Aug" queryTableFieldId="14"/>
    <tableColumn id="15" xr3:uid="{5614FD4A-9FCC-4410-A35F-8E05E484AC1E}" uniqueName="15" name="Sep" queryTableFieldId="15"/>
    <tableColumn id="16" xr3:uid="{3454A27A-B1CC-4E8A-98F9-9D54B784A909}" uniqueName="16" name="Oct" queryTableFieldId="16"/>
    <tableColumn id="17" xr3:uid="{69373DC8-60BF-4C5B-A47B-E1C2CC4E611B}" uniqueName="17" name="Nov" queryTableFieldId="17"/>
    <tableColumn id="18" xr3:uid="{7E7BC5F2-7AA5-4067-9659-80BFD703A50E}" uniqueName="18" name="Dec" queryTableFieldId="18"/>
    <tableColumn id="19" xr3:uid="{C425CDDB-461A-46ED-B128-0B0543906216}" uniqueName="19" name="Jan" queryTableFieldId="19"/>
    <tableColumn id="20" xr3:uid="{5CAF5E42-B59F-4030-8DAE-EF7DDB5E72AC}" uniqueName="20" name="Feb" queryTableFieldId="20"/>
    <tableColumn id="21" xr3:uid="{20D4B008-D0A2-462D-A9DF-D33E0FC9882A}" uniqueName="21" name="Mar" queryTableFieldId="21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04B5479-2906-4813-9232-479503E71752}" name="wip_job_expected_fees_existing_lines" displayName="wip_job_expected_fees_existing_lines" ref="A1:U2" tableType="queryTable" insertRow="1" totalsRowShown="0">
  <autoFilter ref="A1:U2" xr:uid="{104B5479-2906-4813-9232-479503E71752}"/>
  <tableColumns count="21">
    <tableColumn id="2" xr3:uid="{748E9A83-7626-4390-B01F-15A30CD3BAFF}" uniqueName="2" name="expected_fee_internal_id" queryTableFieldId="2"/>
    <tableColumn id="18" xr3:uid="{B4545739-6959-4723-AC66-F45862C79CAF}" uniqueName="18" name="Job number" queryTableFieldId="20"/>
    <tableColumn id="19" xr3:uid="{68A2DDD9-F40A-4F71-BACD-4C3119CDA685}" uniqueName="19" name="Job internal ID" queryTableFieldId="21"/>
    <tableColumn id="20" xr3:uid="{883A8941-867D-4FC1-906E-E2D14A1F2ADD}" uniqueName="20" name="JUM" queryTableFieldId="22"/>
    <tableColumn id="7" xr3:uid="{EA24056B-6C46-4632-8430-086B1BA175B3}" uniqueName="7" name="Department" queryTableFieldId="7"/>
    <tableColumn id="8" xr3:uid="{ADBB9015-04F6-44BA-9625-FD3E2D6C51AA}" uniqueName="8" name="Subteam" queryTableFieldId="8"/>
    <tableColumn id="9" xr3:uid="{A422E325-95E1-446B-869F-F605A424F3E4}" uniqueName="9" name="Service Type" queryTableFieldId="9"/>
    <tableColumn id="21" xr3:uid="{36144B7E-05FD-4BEC-AFBE-BA59D9AC92EC}" uniqueName="21" name="Probability" queryTableFieldId="23"/>
    <tableColumn id="22" xr3:uid="{25532FD8-EA3C-4E58-95F1-14F854F53CF7}" uniqueName="22" name="FY" queryTableFieldId="24"/>
    <tableColumn id="23" xr3:uid="{E984CD79-8300-4230-AD33-AAA54DC4002B}" uniqueName="23" name="Apr" queryTableFieldId="25"/>
    <tableColumn id="24" xr3:uid="{10BAC546-C44E-46AE-B4D9-F16EB2ACF05F}" uniqueName="24" name="May" queryTableFieldId="26"/>
    <tableColumn id="25" xr3:uid="{8C788243-55F7-43D9-AA8A-70E4C7F4E819}" uniqueName="25" name="Jun" queryTableFieldId="27"/>
    <tableColumn id="26" xr3:uid="{49AD19FA-8F7C-4910-B489-FC2A6632683C}" uniqueName="26" name="Jul" queryTableFieldId="28"/>
    <tableColumn id="27" xr3:uid="{2F3955C3-C8C8-44E9-8C41-0D83D1D71F36}" uniqueName="27" name="Aug" queryTableFieldId="29"/>
    <tableColumn id="28" xr3:uid="{A25084FF-E2A3-4A39-850F-1E62A82D5012}" uniqueName="28" name="Sep" queryTableFieldId="30"/>
    <tableColumn id="29" xr3:uid="{FC96F176-19F8-4562-A81B-BD3F0BFA2F55}" uniqueName="29" name="Oct" queryTableFieldId="31"/>
    <tableColumn id="30" xr3:uid="{967CEEA7-0650-4765-B0FA-DB540AEABB80}" uniqueName="30" name="Nov" queryTableFieldId="32"/>
    <tableColumn id="31" xr3:uid="{3480D10B-5913-4668-B52F-F82973233D1F}" uniqueName="31" name="Dec" queryTableFieldId="33"/>
    <tableColumn id="32" xr3:uid="{589F56CE-4E22-4BD7-8AE7-423F2C573746}" uniqueName="32" name="Jan" queryTableFieldId="34"/>
    <tableColumn id="33" xr3:uid="{A3E923D5-5AE5-4094-8F47-E905C6D11DE6}" uniqueName="33" name="Feb" queryTableFieldId="35"/>
    <tableColumn id="34" xr3:uid="{0D5DC138-2918-4A9E-B0CA-75299E8015DC}" uniqueName="34" name="Mar" queryTableFieldId="3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eme1">
  <a:themeElements>
    <a:clrScheme name="Montagu Evans - Blue">
      <a:dk1>
        <a:srgbClr val="000000"/>
      </a:dk1>
      <a:lt1>
        <a:sysClr val="window" lastClr="FFFFFF"/>
      </a:lt1>
      <a:dk2>
        <a:srgbClr val="00B5E2"/>
      </a:dk2>
      <a:lt2>
        <a:srgbClr val="FAE100"/>
      </a:lt2>
      <a:accent1>
        <a:srgbClr val="00B5E2"/>
      </a:accent1>
      <a:accent2>
        <a:srgbClr val="FAE100"/>
      </a:accent2>
      <a:accent3>
        <a:srgbClr val="E10600"/>
      </a:accent3>
      <a:accent4>
        <a:srgbClr val="4D4D4D"/>
      </a:accent4>
      <a:accent5>
        <a:srgbClr val="969696"/>
      </a:accent5>
      <a:accent6>
        <a:srgbClr val="C8C8C8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A4C68CA-B14B-4841-BCE2-B76C93DE9CD9}">
  <we:reference id="3bca4c83-9cd0-4b26-900f-3afe612a10a3" version="1.0.0.0" store="\\LAPTOP-UU4NM17E\Users\JonathanPenuliar\Desktop\Montagu Evans\Qlik\Tabular Reporting\2026APR24" storeType="Filesystem"/>
  <we:alternateReferences/>
  <we:properties>
    <we:property name="QlikReportingCustomXml" value="&quot;{F07E4A82-C285-432A-9CE5-2156244BB113}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90003-BB7C-421E-9952-B86F49FA578B}">
  <dimension ref="A2:AF14"/>
  <sheetViews>
    <sheetView tabSelected="1" workbookViewId="0"/>
  </sheetViews>
  <sheetFormatPr defaultRowHeight="12.75" outlineLevelCol="1" x14ac:dyDescent="0.2"/>
  <cols>
    <col min="1" max="1" width="31.85546875" bestFit="1" customWidth="1"/>
    <col min="2" max="2" width="99.7109375" hidden="1" customWidth="1" outlineLevel="1"/>
    <col min="3" max="3" width="73.140625" hidden="1" customWidth="1" outlineLevel="1"/>
    <col min="4" max="4" width="26.42578125" bestFit="1" customWidth="1" collapsed="1"/>
    <col min="5" max="5" width="16.140625" hidden="1" customWidth="1" outlineLevel="1"/>
    <col min="6" max="6" width="34.42578125" hidden="1" customWidth="1" outlineLevel="1"/>
    <col min="7" max="7" width="49.28515625" hidden="1" customWidth="1" outlineLevel="1"/>
    <col min="8" max="8" width="16.7109375" hidden="1" customWidth="1" outlineLevel="1"/>
    <col min="9" max="9" width="16.7109375" customWidth="1" collapsed="1"/>
    <col min="10" max="10" width="16.7109375" customWidth="1"/>
    <col min="11" max="23" width="16.7109375" customWidth="1" outlineLevel="1"/>
    <col min="24" max="26" width="16.7109375" customWidth="1"/>
    <col min="27" max="31" width="15.7109375" style="10" hidden="1" customWidth="1"/>
  </cols>
  <sheetData>
    <row r="2" spans="1:32" s="2" customFormat="1" ht="38.25" x14ac:dyDescent="0.2">
      <c r="A2" s="1" t="s">
        <v>70</v>
      </c>
      <c r="B2" s="1" t="s">
        <v>71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4" t="s">
        <v>6</v>
      </c>
      <c r="J2" s="6" t="s">
        <v>7</v>
      </c>
      <c r="K2" s="4" t="s">
        <v>8</v>
      </c>
      <c r="L2" s="4" t="s">
        <v>54</v>
      </c>
      <c r="M2" s="4" t="s">
        <v>55</v>
      </c>
      <c r="N2" s="4" t="s">
        <v>56</v>
      </c>
      <c r="O2" s="4" t="s">
        <v>57</v>
      </c>
      <c r="P2" s="4" t="s">
        <v>58</v>
      </c>
      <c r="Q2" s="4" t="s">
        <v>59</v>
      </c>
      <c r="R2" s="4" t="s">
        <v>60</v>
      </c>
      <c r="S2" s="4" t="s">
        <v>61</v>
      </c>
      <c r="T2" s="4" t="s">
        <v>62</v>
      </c>
      <c r="U2" s="4" t="s">
        <v>63</v>
      </c>
      <c r="V2" s="4" t="s">
        <v>64</v>
      </c>
      <c r="W2" s="4" t="s">
        <v>65</v>
      </c>
      <c r="X2" s="1" t="s">
        <v>68</v>
      </c>
      <c r="Y2" s="4" t="s">
        <v>66</v>
      </c>
      <c r="Z2" s="4" t="s">
        <v>67</v>
      </c>
      <c r="AA2" s="1" t="s">
        <v>21</v>
      </c>
      <c r="AB2" s="1" t="s">
        <v>22</v>
      </c>
      <c r="AC2" s="1" t="s">
        <v>23</v>
      </c>
      <c r="AD2" s="1" t="s">
        <v>24</v>
      </c>
      <c r="AE2" s="1" t="s">
        <v>79</v>
      </c>
    </row>
    <row r="3" spans="1:32" s="11" customFormat="1" ht="11.25" x14ac:dyDescent="0.2">
      <c r="A3" s="11" t="s">
        <v>25</v>
      </c>
      <c r="B3" s="11" t="s">
        <v>26</v>
      </c>
      <c r="C3" s="11" t="s">
        <v>27</v>
      </c>
      <c r="D3" s="12" t="str">
        <f>_xlfn.XLOOKUP(tblWIP[[#This Row],[row_id]],tblMaster[[#This Row],[row_id]],tblMaster[[#This Row],[JUM]],"")</f>
        <v>&lt;JUM&gt;</v>
      </c>
      <c r="E3" s="11" t="s">
        <v>29</v>
      </c>
      <c r="F3" s="11" t="s">
        <v>30</v>
      </c>
      <c r="G3" s="11" t="s">
        <v>31</v>
      </c>
      <c r="H3" s="11" t="s">
        <v>32</v>
      </c>
      <c r="I3" s="13" t="s">
        <v>84</v>
      </c>
      <c r="J3" s="14" t="str">
        <f>_xlfn.XLOOKUP(tblWIP[[#This Row],[row_id]],tblMaster[[#This Row],[row_id]],tblMaster[[#This Row],[Weighting %]])</f>
        <v>&lt;Weighting %&gt;</v>
      </c>
      <c r="K3" s="13" t="s">
        <v>34</v>
      </c>
      <c r="L3" s="13" t="s">
        <v>35</v>
      </c>
      <c r="M3" s="13" t="s">
        <v>36</v>
      </c>
      <c r="N3" s="13" t="s">
        <v>37</v>
      </c>
      <c r="O3" s="13" t="s">
        <v>38</v>
      </c>
      <c r="P3" s="13" t="s">
        <v>39</v>
      </c>
      <c r="Q3" s="13" t="s">
        <v>40</v>
      </c>
      <c r="R3" s="13" t="s">
        <v>41</v>
      </c>
      <c r="S3" s="13" t="s">
        <v>42</v>
      </c>
      <c r="T3" s="13" t="s">
        <v>43</v>
      </c>
      <c r="U3" s="13" t="s">
        <v>44</v>
      </c>
      <c r="V3" s="13" t="s">
        <v>45</v>
      </c>
      <c r="W3" s="13" t="s">
        <v>46</v>
      </c>
      <c r="Y3" s="13" t="str" cm="1">
        <f t="array" aca="1" ref="Y3" ca="1">IFERROR(INDEX($L3:$W3,1,CHOOSE(MONTH(TODAY()),10,11,12,1,2,3,4,5,6,7,8,9))*J3,"")</f>
        <v/>
      </c>
      <c r="Z3" s="13" t="str" cm="1">
        <f t="array" aca="1" ref="Z3" ca="1">IFERROR(INDEX($L3:$W3,1,CHOOSE(MONTH(TODAY()),10,11,12,1,2,3,4,5,6,7,8,9))*((J3+100%)/2),"")</f>
        <v/>
      </c>
      <c r="AA3" s="15" t="s">
        <v>47</v>
      </c>
      <c r="AB3" s="15" t="s">
        <v>48</v>
      </c>
      <c r="AC3" s="15" t="s">
        <v>49</v>
      </c>
      <c r="AD3" s="15" t="s">
        <v>50</v>
      </c>
      <c r="AE3" s="15" t="s">
        <v>85</v>
      </c>
    </row>
    <row r="4" spans="1:32" s="11" customFormat="1" ht="11.25" x14ac:dyDescent="0.2">
      <c r="D4" s="12" t="str">
        <f>_xlfn.XLOOKUP(tblWIP[[#This Row],[row_id]],tblMaster[[#This Row],[row_id]],tblMaster[[#This Row],[JUM]],"")</f>
        <v>Jonathan Penuliar</v>
      </c>
      <c r="I4" s="13">
        <v>1</v>
      </c>
      <c r="J4" s="14">
        <f>_xlfn.XLOOKUP(tblWIP[[#This Row],[row_id]],tblMaster[[#This Row],[row_id]],tblMaster[[#This Row],[Weighting %]])</f>
        <v>0</v>
      </c>
      <c r="K4" s="13">
        <v>1</v>
      </c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Y4" s="13" cm="1">
        <f t="array" aca="1" ref="Y4" ca="1">IFERROR(INDEX($L4:$W4,1,CHOOSE(MONTH(TODAY()),10,11,12,1,2,3,4,5,6,7,8,9))*J4,"")</f>
        <v>0</v>
      </c>
      <c r="Z4" s="13" cm="1">
        <f t="array" aca="1" ref="Z4" ca="1">IFERROR(INDEX($L4:$W4,1,CHOOSE(MONTH(TODAY()),10,11,12,1,2,3,4,5,6,7,8,9))*((J4+100%)/2),"")</f>
        <v>0</v>
      </c>
      <c r="AA4" s="15"/>
      <c r="AB4" s="15"/>
      <c r="AC4" s="15"/>
      <c r="AD4" s="15"/>
      <c r="AE4" s="15">
        <v>999</v>
      </c>
      <c r="AF4" s="11" t="s">
        <v>78</v>
      </c>
    </row>
    <row r="5" spans="1:32" s="11" customFormat="1" ht="11.25" x14ac:dyDescent="0.2">
      <c r="D5" s="12" t="str">
        <f>_xlfn.XLOOKUP(tblWIP[[#This Row],[row_id]],tblMaster[[#This Row],[row_id]],tblMaster[[#This Row],[JUM]],"")</f>
        <v>Stewart Clark</v>
      </c>
      <c r="I5" s="13">
        <v>1</v>
      </c>
      <c r="J5" s="14">
        <f>_xlfn.XLOOKUP(tblWIP[[#This Row],[row_id]],tblMaster[[#This Row],[row_id]],tblMaster[[#This Row],[Weighting %]])</f>
        <v>0</v>
      </c>
      <c r="K5" s="13">
        <v>1</v>
      </c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Y5" s="13" cm="1">
        <f t="array" aca="1" ref="Y5" ca="1">IFERROR(INDEX($L5:$W5,1,CHOOSE(MONTH(TODAY()),10,11,12,1,2,3,4,5,6,7,8,9))*J5,"")</f>
        <v>0</v>
      </c>
      <c r="Z5" s="13" cm="1">
        <f t="array" aca="1" ref="Z5" ca="1">IFERROR(INDEX($L5:$W5,1,CHOOSE(MONTH(TODAY()),10,11,12,1,2,3,4,5,6,7,8,9))*((J5+100%)/2),"")</f>
        <v>0</v>
      </c>
      <c r="AA5" s="15"/>
      <c r="AB5" s="15"/>
      <c r="AC5" s="15"/>
      <c r="AD5" s="15"/>
      <c r="AE5" s="15">
        <v>9999</v>
      </c>
      <c r="AF5" s="11" t="s">
        <v>78</v>
      </c>
    </row>
    <row r="6" spans="1:32" s="11" customFormat="1" x14ac:dyDescent="0.2">
      <c r="A6" t="s">
        <v>69</v>
      </c>
      <c r="B6"/>
      <c r="C6"/>
      <c r="D6"/>
      <c r="E6"/>
      <c r="F6"/>
      <c r="G6"/>
      <c r="H6"/>
      <c r="I6" s="5">
        <f>SUBTOTAL(109,tblWIP[Actuals  YTD])</f>
        <v>2</v>
      </c>
      <c r="J6" s="8"/>
      <c r="K6" s="5">
        <f>SUBTOTAL(109,tblWIP[TOTAL
ACTUAL + PIPELINE])</f>
        <v>2</v>
      </c>
      <c r="L6" s="5">
        <f>SUBTOTAL(109,tblWIP[&lt;Apr_1&gt;])</f>
        <v>0</v>
      </c>
      <c r="M6" s="5">
        <f>SUBTOTAL(109,tblWIP[&lt;May_1&gt;])</f>
        <v>0</v>
      </c>
      <c r="N6" s="5">
        <f>SUBTOTAL(109,tblWIP[&lt;Jun_1&gt;])</f>
        <v>0</v>
      </c>
      <c r="O6" s="5">
        <f>SUBTOTAL(109,tblWIP[&lt;Jul_1&gt;])</f>
        <v>0</v>
      </c>
      <c r="P6" s="5">
        <f>SUBTOTAL(109,tblWIP[&lt;Aug_1&gt;])</f>
        <v>0</v>
      </c>
      <c r="Q6" s="5">
        <f>SUBTOTAL(109,tblWIP[&lt;Sep_1&gt;])</f>
        <v>0</v>
      </c>
      <c r="R6" s="5">
        <f>SUBTOTAL(109,tblWIP[&lt;Oct_1&gt;])</f>
        <v>0</v>
      </c>
      <c r="S6" s="5">
        <f>SUBTOTAL(109,tblWIP[&lt;Nov_1&gt;])</f>
        <v>0</v>
      </c>
      <c r="T6" s="5">
        <f>SUBTOTAL(109,tblWIP[&lt;Dec_1&gt;])</f>
        <v>0</v>
      </c>
      <c r="U6" s="5">
        <f>SUBTOTAL(109,tblWIP[&lt;Jan_1&gt;])</f>
        <v>0</v>
      </c>
      <c r="V6" s="5">
        <f>SUBTOTAL(109,tblWIP[&lt;Feb_1&gt;])</f>
        <v>0</v>
      </c>
      <c r="W6" s="5">
        <f>SUBTOTAL(109,tblWIP[&lt;Mar_1&gt;])</f>
        <v>0</v>
      </c>
      <c r="X6"/>
      <c r="Y6" s="5">
        <f ca="1">SUBTOTAL(109,tblWIP[&lt;Weighted&gt;])</f>
        <v>0</v>
      </c>
      <c r="Z6" s="5">
        <f ca="1">SUBTOTAL(109,tblWIP[&lt;Midpoint&gt;])</f>
        <v>0</v>
      </c>
      <c r="AA6" s="10"/>
      <c r="AB6" s="10"/>
      <c r="AC6" s="10"/>
      <c r="AD6" s="10"/>
      <c r="AE6" s="10"/>
    </row>
    <row r="7" spans="1:32" x14ac:dyDescent="0.2">
      <c r="AF7" s="11"/>
    </row>
    <row r="8" spans="1:32" x14ac:dyDescent="0.2">
      <c r="AF8" s="11"/>
    </row>
    <row r="9" spans="1:32" x14ac:dyDescent="0.2">
      <c r="AF9" s="11"/>
    </row>
    <row r="10" spans="1:32" x14ac:dyDescent="0.2">
      <c r="AF10" s="11"/>
    </row>
    <row r="11" spans="1:32" x14ac:dyDescent="0.2">
      <c r="AF11" s="11"/>
    </row>
    <row r="12" spans="1:32" x14ac:dyDescent="0.2">
      <c r="AF12" s="11"/>
    </row>
    <row r="13" spans="1:32" x14ac:dyDescent="0.2">
      <c r="AF13" s="11"/>
    </row>
    <row r="14" spans="1:32" x14ac:dyDescent="0.2">
      <c r="AF14" s="11"/>
    </row>
  </sheetData>
  <conditionalFormatting sqref="L3:L5">
    <cfRule type="expression" dxfId="24" priority="13">
      <formula>ISNUMBER(SEARCH("(Forecast)", $L$2))</formula>
    </cfRule>
  </conditionalFormatting>
  <conditionalFormatting sqref="L3:M5">
    <cfRule type="expression" dxfId="23" priority="14">
      <formula>ISNUMBER(SEARCH("(Forecast)", $M$2))</formula>
    </cfRule>
  </conditionalFormatting>
  <conditionalFormatting sqref="N3:N5">
    <cfRule type="expression" dxfId="22" priority="15">
      <formula>ISNUMBER(SEARCH("(Forecast)", $N$2))</formula>
    </cfRule>
  </conditionalFormatting>
  <conditionalFormatting sqref="O3:O5">
    <cfRule type="expression" dxfId="21" priority="16">
      <formula>ISNUMBER(SEARCH("(Forecast)", $O$2))</formula>
    </cfRule>
  </conditionalFormatting>
  <conditionalFormatting sqref="P3:P5">
    <cfRule type="expression" dxfId="20" priority="17">
      <formula>ISNUMBER(SEARCH("(Forecast)", $P$2))</formula>
    </cfRule>
  </conditionalFormatting>
  <conditionalFormatting sqref="Q3:Q5">
    <cfRule type="expression" dxfId="19" priority="18">
      <formula>ISNUMBER(SEARCH("(Forecast)", $Q$2))</formula>
    </cfRule>
  </conditionalFormatting>
  <conditionalFormatting sqref="R3:R5">
    <cfRule type="expression" dxfId="18" priority="19">
      <formula>ISNUMBER(SEARCH("(Forecast)", $R$2))</formula>
    </cfRule>
  </conditionalFormatting>
  <conditionalFormatting sqref="S3:S5">
    <cfRule type="expression" dxfId="17" priority="20">
      <formula>ISNUMBER(SEARCH("(Forecast)", $S$2))</formula>
    </cfRule>
  </conditionalFormatting>
  <conditionalFormatting sqref="T3:T5">
    <cfRule type="expression" dxfId="16" priority="21">
      <formula>ISNUMBER(SEARCH("(Forecast)", $T$2))</formula>
    </cfRule>
  </conditionalFormatting>
  <conditionalFormatting sqref="U3:U5">
    <cfRule type="expression" dxfId="15" priority="22">
      <formula>ISNUMBER(SEARCH("(Forecast)", $U$2))</formula>
    </cfRule>
  </conditionalFormatting>
  <conditionalFormatting sqref="V3:V5">
    <cfRule type="expression" dxfId="14" priority="23">
      <formula>ISNUMBER(SEARCH("(Forecast)", $V$2))</formula>
    </cfRule>
  </conditionalFormatting>
  <conditionalFormatting sqref="W3:W5">
    <cfRule type="expression" dxfId="13" priority="24">
      <formula>ISNUMBER(SEARCH("(Forecast)", $W$2))</formula>
    </cfRule>
  </conditionalFormatting>
  <dataValidations count="2">
    <dataValidation type="list" allowBlank="1" showInputMessage="1" showErrorMessage="1" sqref="J3:J5" xr:uid="{F2B5DAC8-CAEF-4302-A939-E3CF99AD042F}">
      <formula1>Weighting</formula1>
    </dataValidation>
    <dataValidation type="list" allowBlank="1" showInputMessage="1" showErrorMessage="1" sqref="D3:D5" xr:uid="{2852160F-885D-4EA0-A4BC-2BD939192AD7}">
      <formula1>jum_dropdown_list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A8B24-2B5D-4ABF-839F-69A90D8C5BCC}">
  <dimension ref="A2:AF14"/>
  <sheetViews>
    <sheetView workbookViewId="0"/>
  </sheetViews>
  <sheetFormatPr defaultRowHeight="12.75" outlineLevelCol="1" x14ac:dyDescent="0.2"/>
  <cols>
    <col min="1" max="1" width="31.85546875" bestFit="1" customWidth="1"/>
    <col min="2" max="2" width="99.7109375" hidden="1" customWidth="1" outlineLevel="1"/>
    <col min="3" max="3" width="73.140625" hidden="1" customWidth="1" outlineLevel="1"/>
    <col min="4" max="4" width="26.42578125" bestFit="1" customWidth="1" collapsed="1"/>
    <col min="5" max="5" width="16.140625" hidden="1" customWidth="1" outlineLevel="1"/>
    <col min="6" max="6" width="34.42578125" hidden="1" customWidth="1" outlineLevel="1"/>
    <col min="7" max="7" width="49.28515625" hidden="1" customWidth="1" outlineLevel="1"/>
    <col min="8" max="8" width="16.7109375" hidden="1" customWidth="1" outlineLevel="1"/>
    <col min="9" max="9" width="16.7109375" customWidth="1" collapsed="1"/>
    <col min="10" max="10" width="16.7109375" customWidth="1"/>
    <col min="11" max="23" width="16.7109375" customWidth="1" outlineLevel="1"/>
    <col min="24" max="26" width="16.7109375" customWidth="1"/>
    <col min="27" max="31" width="15.7109375" style="10" customWidth="1"/>
  </cols>
  <sheetData>
    <row r="2" spans="1:32" s="2" customFormat="1" ht="38.25" x14ac:dyDescent="0.2">
      <c r="A2" s="1" t="s">
        <v>70</v>
      </c>
      <c r="B2" s="1" t="s">
        <v>71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4" t="s">
        <v>6</v>
      </c>
      <c r="J2" s="6" t="s">
        <v>7</v>
      </c>
      <c r="K2" s="4" t="s">
        <v>8</v>
      </c>
      <c r="L2" s="4" t="s">
        <v>54</v>
      </c>
      <c r="M2" s="4" t="s">
        <v>55</v>
      </c>
      <c r="N2" s="4" t="s">
        <v>56</v>
      </c>
      <c r="O2" s="4" t="s">
        <v>57</v>
      </c>
      <c r="P2" s="4" t="s">
        <v>58</v>
      </c>
      <c r="Q2" s="4" t="s">
        <v>59</v>
      </c>
      <c r="R2" s="4" t="s">
        <v>60</v>
      </c>
      <c r="S2" s="4" t="s">
        <v>61</v>
      </c>
      <c r="T2" s="4" t="s">
        <v>62</v>
      </c>
      <c r="U2" s="4" t="s">
        <v>63</v>
      </c>
      <c r="V2" s="4" t="s">
        <v>64</v>
      </c>
      <c r="W2" s="4" t="s">
        <v>65</v>
      </c>
      <c r="X2" s="1" t="s">
        <v>68</v>
      </c>
      <c r="Y2" s="4" t="s">
        <v>66</v>
      </c>
      <c r="Z2" s="4" t="s">
        <v>67</v>
      </c>
      <c r="AA2" s="1" t="s">
        <v>21</v>
      </c>
      <c r="AB2" s="1" t="s">
        <v>22</v>
      </c>
      <c r="AC2" s="1" t="s">
        <v>23</v>
      </c>
      <c r="AD2" s="1" t="s">
        <v>24</v>
      </c>
      <c r="AE2" s="1" t="s">
        <v>79</v>
      </c>
    </row>
    <row r="3" spans="1:32" s="11" customFormat="1" ht="11.25" x14ac:dyDescent="0.2">
      <c r="A3" s="11" t="s">
        <v>25</v>
      </c>
      <c r="B3" s="11" t="s">
        <v>26</v>
      </c>
      <c r="C3" s="11" t="s">
        <v>27</v>
      </c>
      <c r="D3" s="12" t="s">
        <v>28</v>
      </c>
      <c r="E3" s="11" t="s">
        <v>29</v>
      </c>
      <c r="F3" s="11" t="s">
        <v>30</v>
      </c>
      <c r="G3" s="11" t="s">
        <v>31</v>
      </c>
      <c r="H3" s="11" t="s">
        <v>32</v>
      </c>
      <c r="I3" s="13" t="s">
        <v>84</v>
      </c>
      <c r="J3" s="14" t="s">
        <v>33</v>
      </c>
      <c r="K3" s="13" t="s">
        <v>34</v>
      </c>
      <c r="L3" s="13" t="s">
        <v>35</v>
      </c>
      <c r="M3" s="13" t="s">
        <v>36</v>
      </c>
      <c r="N3" s="13" t="s">
        <v>37</v>
      </c>
      <c r="O3" s="13" t="s">
        <v>38</v>
      </c>
      <c r="P3" s="13" t="s">
        <v>39</v>
      </c>
      <c r="Q3" s="13" t="s">
        <v>40</v>
      </c>
      <c r="R3" s="13" t="s">
        <v>41</v>
      </c>
      <c r="S3" s="13" t="s">
        <v>42</v>
      </c>
      <c r="T3" s="13" t="s">
        <v>43</v>
      </c>
      <c r="U3" s="13" t="s">
        <v>44</v>
      </c>
      <c r="V3" s="13" t="s">
        <v>45</v>
      </c>
      <c r="W3" s="13" t="s">
        <v>46</v>
      </c>
      <c r="Y3" s="13" t="str" cm="1">
        <f t="array" aca="1" ref="Y3" ca="1">IFERROR(INDEX($L3:$W3,1,CHOOSE(MONTH(TODAY()),10,11,12,1,2,3,4,5,6,7,8,9))*J4,"")</f>
        <v/>
      </c>
      <c r="Z3" s="13" t="str" cm="1">
        <f t="array" aca="1" ref="Z3" ca="1">IFERROR(INDEX($L3:$W3,1,CHOOSE(MONTH(TODAY()),10,11,12,1,2,3,4,5,6,7,8,9))*((J4+100%)/2),"")</f>
        <v/>
      </c>
      <c r="AA3" s="15" t="s">
        <v>47</v>
      </c>
      <c r="AB3" s="15" t="s">
        <v>48</v>
      </c>
      <c r="AC3" s="15" t="s">
        <v>49</v>
      </c>
      <c r="AD3" s="15" t="s">
        <v>50</v>
      </c>
      <c r="AE3" s="15" t="s">
        <v>85</v>
      </c>
    </row>
    <row r="4" spans="1:32" s="11" customFormat="1" ht="11.25" x14ac:dyDescent="0.2">
      <c r="D4" s="12" t="s">
        <v>90</v>
      </c>
      <c r="I4" s="13">
        <v>1</v>
      </c>
      <c r="J4" s="14"/>
      <c r="K4" s="13">
        <v>1</v>
      </c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Y4" s="13" cm="1">
        <f t="array" aca="1" ref="Y4" ca="1">IFERROR(INDEX($L4:$W4,1,CHOOSE(MONTH(TODAY()),10,11,12,1,2,3,4,5,6,7,8,9))*J6,"")</f>
        <v>0</v>
      </c>
      <c r="Z4" s="13" cm="1">
        <f t="array" aca="1" ref="Z4" ca="1">IFERROR(INDEX($L4:$W4,1,CHOOSE(MONTH(TODAY()),10,11,12,1,2,3,4,5,6,7,8,9))*((J6+100%)/2),"")</f>
        <v>0</v>
      </c>
      <c r="AA4" s="15"/>
      <c r="AB4" s="15"/>
      <c r="AC4" s="15"/>
      <c r="AD4" s="15"/>
      <c r="AE4" s="15">
        <v>999</v>
      </c>
      <c r="AF4" s="11" t="s">
        <v>78</v>
      </c>
    </row>
    <row r="5" spans="1:32" s="11" customFormat="1" ht="11.25" x14ac:dyDescent="0.2">
      <c r="D5" s="12" t="s">
        <v>91</v>
      </c>
      <c r="I5" s="13">
        <v>1</v>
      </c>
      <c r="J5" s="14"/>
      <c r="K5" s="13">
        <v>1</v>
      </c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Y5" s="13" cm="1">
        <f t="array" aca="1" ref="Y5" ca="1">IFERROR(INDEX($L5:$W5,1,CHOOSE(MONTH(TODAY()),10,11,12,1,2,3,4,5,6,7,8,9))*J6,"")</f>
        <v>0</v>
      </c>
      <c r="Z5" s="13" cm="1">
        <f t="array" aca="1" ref="Z5" ca="1">IFERROR(INDEX($L5:$W5,1,CHOOSE(MONTH(TODAY()),10,11,12,1,2,3,4,5,6,7,8,9))*((J6+100%)/2),"")</f>
        <v>0</v>
      </c>
      <c r="AA5" s="15"/>
      <c r="AB5" s="15"/>
      <c r="AC5" s="15"/>
      <c r="AD5" s="15"/>
      <c r="AE5" s="15">
        <v>9999</v>
      </c>
      <c r="AF5" s="11" t="s">
        <v>78</v>
      </c>
    </row>
    <row r="6" spans="1:32" s="11" customFormat="1" x14ac:dyDescent="0.2">
      <c r="A6" t="s">
        <v>69</v>
      </c>
      <c r="B6"/>
      <c r="C6"/>
      <c r="D6"/>
      <c r="E6"/>
      <c r="F6"/>
      <c r="G6"/>
      <c r="H6"/>
      <c r="I6" s="5">
        <f>SUBTOTAL(109,tblMaster[Actuals  YTD])</f>
        <v>2</v>
      </c>
      <c r="J6" s="8"/>
      <c r="K6" s="5">
        <f>SUBTOTAL(109,tblMaster[TOTAL
ACTUAL + PIPELINE])</f>
        <v>2</v>
      </c>
      <c r="L6" s="5">
        <f>SUBTOTAL(109,tblMaster[&lt;Apr_1&gt;])</f>
        <v>0</v>
      </c>
      <c r="M6" s="5">
        <f>SUBTOTAL(109,tblMaster[&lt;May_1&gt;])</f>
        <v>0</v>
      </c>
      <c r="N6" s="5">
        <f>SUBTOTAL(109,tblMaster[&lt;Jun_1&gt;])</f>
        <v>0</v>
      </c>
      <c r="O6" s="5">
        <f>SUBTOTAL(109,tblMaster[&lt;Jul_1&gt;])</f>
        <v>0</v>
      </c>
      <c r="P6" s="5">
        <f>SUBTOTAL(109,tblMaster[&lt;Aug_1&gt;])</f>
        <v>0</v>
      </c>
      <c r="Q6" s="5">
        <f>SUBTOTAL(109,tblMaster[&lt;Sep_1&gt;])</f>
        <v>0</v>
      </c>
      <c r="R6" s="5">
        <f>SUBTOTAL(109,tblMaster[&lt;Oct_1&gt;])</f>
        <v>0</v>
      </c>
      <c r="S6" s="5">
        <f>SUBTOTAL(109,tblMaster[&lt;Nov_1&gt;])</f>
        <v>0</v>
      </c>
      <c r="T6" s="5">
        <f>SUBTOTAL(109,tblMaster[&lt;Dec_1&gt;])</f>
        <v>0</v>
      </c>
      <c r="U6" s="5">
        <f>SUBTOTAL(109,tblMaster[&lt;Jan_1&gt;])</f>
        <v>0</v>
      </c>
      <c r="V6" s="5">
        <f>SUBTOTAL(109,tblMaster[&lt;Feb_1&gt;])</f>
        <v>0</v>
      </c>
      <c r="W6" s="5">
        <f>SUBTOTAL(109,tblMaster[&lt;Mar_1&gt;])</f>
        <v>0</v>
      </c>
      <c r="X6"/>
      <c r="Y6" s="5">
        <f ca="1">SUBTOTAL(109,tblMaster[&lt;Weighted&gt;])</f>
        <v>0</v>
      </c>
      <c r="Z6" s="5">
        <f ca="1">SUBTOTAL(109,tblMaster[&lt;Midpoint&gt;])</f>
        <v>0</v>
      </c>
      <c r="AA6" s="10"/>
      <c r="AB6" s="10"/>
      <c r="AC6" s="10"/>
      <c r="AD6" s="10"/>
      <c r="AE6" s="10"/>
    </row>
    <row r="7" spans="1:32" x14ac:dyDescent="0.2">
      <c r="AF7" s="11"/>
    </row>
    <row r="8" spans="1:32" x14ac:dyDescent="0.2">
      <c r="AF8" s="11"/>
    </row>
    <row r="9" spans="1:32" x14ac:dyDescent="0.2">
      <c r="AF9" s="11"/>
    </row>
    <row r="10" spans="1:32" x14ac:dyDescent="0.2">
      <c r="AF10" s="11"/>
    </row>
    <row r="11" spans="1:32" x14ac:dyDescent="0.2">
      <c r="AF11" s="11"/>
    </row>
    <row r="12" spans="1:32" x14ac:dyDescent="0.2">
      <c r="AF12" s="11"/>
    </row>
    <row r="13" spans="1:32" x14ac:dyDescent="0.2">
      <c r="AF13" s="11"/>
    </row>
    <row r="14" spans="1:32" x14ac:dyDescent="0.2">
      <c r="AF14" s="11"/>
    </row>
  </sheetData>
  <conditionalFormatting sqref="L3:L5">
    <cfRule type="expression" dxfId="12" priority="13">
      <formula>ISNUMBER(SEARCH("(Forecast)", $L$2))</formula>
    </cfRule>
  </conditionalFormatting>
  <conditionalFormatting sqref="L3:M5">
    <cfRule type="expression" dxfId="11" priority="14">
      <formula>ISNUMBER(SEARCH("(Forecast)", $M$2))</formula>
    </cfRule>
  </conditionalFormatting>
  <conditionalFormatting sqref="N3:N5">
    <cfRule type="expression" dxfId="10" priority="15">
      <formula>ISNUMBER(SEARCH("(Forecast)", $N$2))</formula>
    </cfRule>
  </conditionalFormatting>
  <conditionalFormatting sqref="O3:O5">
    <cfRule type="expression" dxfId="9" priority="16">
      <formula>ISNUMBER(SEARCH("(Forecast)", $O$2))</formula>
    </cfRule>
  </conditionalFormatting>
  <conditionalFormatting sqref="P3:P5">
    <cfRule type="expression" dxfId="8" priority="17">
      <formula>ISNUMBER(SEARCH("(Forecast)", $P$2))</formula>
    </cfRule>
  </conditionalFormatting>
  <conditionalFormatting sqref="Q3:Q5">
    <cfRule type="expression" dxfId="7" priority="18">
      <formula>ISNUMBER(SEARCH("(Forecast)", $Q$2))</formula>
    </cfRule>
  </conditionalFormatting>
  <conditionalFormatting sqref="R3:R5">
    <cfRule type="expression" dxfId="6" priority="19">
      <formula>ISNUMBER(SEARCH("(Forecast)", $R$2))</formula>
    </cfRule>
  </conditionalFormatting>
  <conditionalFormatting sqref="S3:S5">
    <cfRule type="expression" dxfId="5" priority="20">
      <formula>ISNUMBER(SEARCH("(Forecast)", $S$2))</formula>
    </cfRule>
  </conditionalFormatting>
  <conditionalFormatting sqref="T3:T5">
    <cfRule type="expression" dxfId="4" priority="21">
      <formula>ISNUMBER(SEARCH("(Forecast)", $T$2))</formula>
    </cfRule>
  </conditionalFormatting>
  <conditionalFormatting sqref="U3:U5">
    <cfRule type="expression" dxfId="3" priority="22">
      <formula>ISNUMBER(SEARCH("(Forecast)", $U$2))</formula>
    </cfRule>
  </conditionalFormatting>
  <conditionalFormatting sqref="V3:V5">
    <cfRule type="expression" dxfId="2" priority="23">
      <formula>ISNUMBER(SEARCH("(Forecast)", $V$2))</formula>
    </cfRule>
  </conditionalFormatting>
  <conditionalFormatting sqref="W3:W5">
    <cfRule type="expression" dxfId="1" priority="24">
      <formula>ISNUMBER(SEARCH("(Forecast)", $W$2))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A0222-1D59-47DD-A7CA-AC8C93D6DB42}">
  <dimension ref="B1:D24"/>
  <sheetViews>
    <sheetView workbookViewId="0"/>
  </sheetViews>
  <sheetFormatPr defaultRowHeight="12.75" x14ac:dyDescent="0.2"/>
  <cols>
    <col min="1" max="1" width="2.42578125" customWidth="1"/>
    <col min="2" max="2" width="30.7109375" customWidth="1"/>
    <col min="3" max="3" width="3.85546875" customWidth="1"/>
    <col min="4" max="4" width="30.7109375" customWidth="1"/>
  </cols>
  <sheetData>
    <row r="1" spans="2:4" x14ac:dyDescent="0.2">
      <c r="B1" t="s">
        <v>51</v>
      </c>
      <c r="C1" s="2"/>
    </row>
    <row r="2" spans="2:4" x14ac:dyDescent="0.2">
      <c r="B2" t="s">
        <v>53</v>
      </c>
    </row>
    <row r="5" spans="2:4" x14ac:dyDescent="0.2">
      <c r="B5" s="3" t="s">
        <v>52</v>
      </c>
    </row>
    <row r="6" spans="2:4" x14ac:dyDescent="0.2">
      <c r="B6" s="3">
        <v>0</v>
      </c>
    </row>
    <row r="7" spans="2:4" x14ac:dyDescent="0.2">
      <c r="B7" s="3">
        <v>0.15</v>
      </c>
    </row>
    <row r="8" spans="2:4" x14ac:dyDescent="0.2">
      <c r="B8" s="3">
        <v>0.5</v>
      </c>
    </row>
    <row r="9" spans="2:4" x14ac:dyDescent="0.2">
      <c r="B9" s="3">
        <v>0.75</v>
      </c>
    </row>
    <row r="10" spans="2:4" x14ac:dyDescent="0.2">
      <c r="B10" s="3">
        <v>0.95</v>
      </c>
    </row>
    <row r="11" spans="2:4" x14ac:dyDescent="0.2">
      <c r="B11" s="3">
        <v>1</v>
      </c>
    </row>
    <row r="14" spans="2:4" x14ac:dyDescent="0.2">
      <c r="B14" s="9" t="s">
        <v>1</v>
      </c>
    </row>
    <row r="15" spans="2:4" x14ac:dyDescent="0.2">
      <c r="B15" t="s">
        <v>86</v>
      </c>
    </row>
    <row r="16" spans="2:4" x14ac:dyDescent="0.2">
      <c r="D16" s="11"/>
    </row>
    <row r="17" spans="4:4" x14ac:dyDescent="0.2">
      <c r="D17" s="11"/>
    </row>
    <row r="18" spans="4:4" x14ac:dyDescent="0.2">
      <c r="D18" s="11"/>
    </row>
    <row r="19" spans="4:4" x14ac:dyDescent="0.2">
      <c r="D19" s="11"/>
    </row>
    <row r="20" spans="4:4" x14ac:dyDescent="0.2">
      <c r="D20" s="11"/>
    </row>
    <row r="21" spans="4:4" x14ac:dyDescent="0.2">
      <c r="D21" s="11"/>
    </row>
    <row r="22" spans="4:4" x14ac:dyDescent="0.2">
      <c r="D22" s="11"/>
    </row>
    <row r="23" spans="4:4" x14ac:dyDescent="0.2">
      <c r="D23" s="11"/>
    </row>
    <row r="24" spans="4:4" x14ac:dyDescent="0.2">
      <c r="D24" s="11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22E71-7C17-429B-BF8C-C5B6F1B5DF1E}">
  <dimension ref="A2:P3"/>
  <sheetViews>
    <sheetView workbookViewId="0"/>
  </sheetViews>
  <sheetFormatPr defaultRowHeight="12.75" x14ac:dyDescent="0.2"/>
  <cols>
    <col min="1" max="1" width="26.7109375" bestFit="1" customWidth="1"/>
    <col min="2" max="2" width="10.85546875" bestFit="1" customWidth="1"/>
    <col min="3" max="3" width="35.28515625" bestFit="1" customWidth="1"/>
    <col min="4" max="4" width="14" bestFit="1" customWidth="1"/>
    <col min="5" max="5" width="7.140625" bestFit="1" customWidth="1"/>
    <col min="6" max="6" width="13.85546875" bestFit="1" customWidth="1"/>
    <col min="7" max="7" width="11.42578125" bestFit="1" customWidth="1"/>
    <col min="8" max="8" width="15.140625" bestFit="1" customWidth="1"/>
    <col min="9" max="9" width="15.42578125" bestFit="1" customWidth="1"/>
    <col min="10" max="10" width="12.85546875" bestFit="1" customWidth="1"/>
    <col min="11" max="11" width="15.7109375" bestFit="1" customWidth="1"/>
    <col min="12" max="12" width="15.42578125" bestFit="1" customWidth="1"/>
    <col min="13" max="13" width="16" bestFit="1" customWidth="1"/>
    <col min="14" max="14" width="16.85546875" bestFit="1" customWidth="1"/>
    <col min="15" max="15" width="13.42578125" bestFit="1" customWidth="1"/>
    <col min="16" max="16" width="12" bestFit="1" customWidth="1"/>
    <col min="17" max="17" width="13.42578125" customWidth="1"/>
    <col min="18" max="18" width="9.42578125" bestFit="1" customWidth="1"/>
    <col min="19" max="19" width="16.85546875" bestFit="1" customWidth="1"/>
    <col min="20" max="20" width="13.42578125" customWidth="1"/>
    <col min="21" max="21" width="16" bestFit="1" customWidth="1"/>
    <col min="22" max="22" width="16.85546875" bestFit="1" customWidth="1"/>
    <col min="23" max="24" width="13.42578125" bestFit="1" customWidth="1"/>
    <col min="25" max="25" width="23.28515625" bestFit="1" customWidth="1"/>
  </cols>
  <sheetData>
    <row r="2" spans="1:16" x14ac:dyDescent="0.2">
      <c r="A2" t="s">
        <v>22</v>
      </c>
      <c r="B2" t="s">
        <v>23</v>
      </c>
      <c r="C2" t="s">
        <v>70</v>
      </c>
      <c r="D2" t="s">
        <v>24</v>
      </c>
      <c r="E2" t="s">
        <v>1</v>
      </c>
      <c r="F2" t="s">
        <v>2</v>
      </c>
      <c r="G2" t="s">
        <v>3</v>
      </c>
      <c r="H2" t="s">
        <v>4</v>
      </c>
      <c r="I2" t="s">
        <v>5</v>
      </c>
      <c r="J2" t="s">
        <v>72</v>
      </c>
      <c r="K2" t="s">
        <v>73</v>
      </c>
      <c r="L2" t="s">
        <v>74</v>
      </c>
      <c r="M2" t="s">
        <v>75</v>
      </c>
      <c r="N2" s="7" t="s">
        <v>76</v>
      </c>
      <c r="O2" t="s">
        <v>77</v>
      </c>
      <c r="P2" t="s">
        <v>89</v>
      </c>
    </row>
    <row r="3" spans="1:16" x14ac:dyDescent="0.2">
      <c r="N3" s="7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33010-0615-461F-A37D-6C4B0CCB866B}">
  <dimension ref="A1:U1"/>
  <sheetViews>
    <sheetView workbookViewId="0"/>
  </sheetViews>
  <sheetFormatPr defaultRowHeight="12.75" x14ac:dyDescent="0.2"/>
  <cols>
    <col min="1" max="1" width="26.7109375" bestFit="1" customWidth="1"/>
    <col min="2" max="2" width="21.7109375" bestFit="1" customWidth="1"/>
    <col min="3" max="3" width="24.28515625" bestFit="1" customWidth="1"/>
    <col min="4" max="4" width="7.140625" bestFit="1" customWidth="1"/>
    <col min="5" max="5" width="13.85546875" bestFit="1" customWidth="1"/>
    <col min="6" max="6" width="11.42578125" bestFit="1" customWidth="1"/>
    <col min="7" max="7" width="15.140625" bestFit="1" customWidth="1"/>
    <col min="8" max="8" width="13.140625" bestFit="1" customWidth="1"/>
    <col min="9" max="9" width="5.5703125" bestFit="1" customWidth="1"/>
    <col min="10" max="10" width="6.42578125" bestFit="1" customWidth="1"/>
    <col min="11" max="11" width="7" bestFit="1" customWidth="1"/>
    <col min="12" max="12" width="6.5703125" bestFit="1" customWidth="1"/>
    <col min="13" max="13" width="6" bestFit="1" customWidth="1"/>
    <col min="14" max="15" width="6.85546875" bestFit="1" customWidth="1"/>
    <col min="16" max="16" width="6.28515625" bestFit="1" customWidth="1"/>
    <col min="17" max="18" width="6.7109375" bestFit="1" customWidth="1"/>
    <col min="19" max="19" width="6.5703125" bestFit="1" customWidth="1"/>
    <col min="20" max="23" width="6.7109375" bestFit="1" customWidth="1"/>
  </cols>
  <sheetData>
    <row r="1" spans="1:21" x14ac:dyDescent="0.2">
      <c r="A1" t="s">
        <v>22</v>
      </c>
      <c r="B1" t="s">
        <v>87</v>
      </c>
      <c r="C1" t="s">
        <v>88</v>
      </c>
      <c r="D1" t="s">
        <v>1</v>
      </c>
      <c r="E1" t="s">
        <v>2</v>
      </c>
      <c r="F1" t="s">
        <v>3</v>
      </c>
      <c r="G1" t="s">
        <v>4</v>
      </c>
      <c r="H1" t="s">
        <v>82</v>
      </c>
      <c r="I1" t="s">
        <v>83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4731D-D1D1-4CD9-AC12-0B0042C1B826}">
  <dimension ref="A1:U1"/>
  <sheetViews>
    <sheetView workbookViewId="0"/>
  </sheetViews>
  <sheetFormatPr defaultRowHeight="12.75" x14ac:dyDescent="0.2"/>
  <cols>
    <col min="1" max="1" width="26.7109375" bestFit="1" customWidth="1"/>
    <col min="2" max="2" width="21.7109375" bestFit="1" customWidth="1"/>
    <col min="3" max="3" width="24.28515625" bestFit="1" customWidth="1"/>
    <col min="4" max="4" width="7.140625" bestFit="1" customWidth="1"/>
    <col min="5" max="5" width="13.85546875" bestFit="1" customWidth="1"/>
    <col min="6" max="6" width="11.42578125" bestFit="1" customWidth="1"/>
    <col min="7" max="7" width="15.140625" bestFit="1" customWidth="1"/>
    <col min="8" max="8" width="13.140625" bestFit="1" customWidth="1"/>
    <col min="9" max="9" width="5.5703125" bestFit="1" customWidth="1"/>
    <col min="10" max="10" width="6.42578125" bestFit="1" customWidth="1"/>
    <col min="11" max="11" width="7" bestFit="1" customWidth="1"/>
    <col min="12" max="12" width="6.5703125" bestFit="1" customWidth="1"/>
    <col min="13" max="13" width="6" bestFit="1" customWidth="1"/>
    <col min="14" max="15" width="6.85546875" bestFit="1" customWidth="1"/>
    <col min="16" max="16" width="6.28515625" bestFit="1" customWidth="1"/>
    <col min="17" max="18" width="6.7109375" bestFit="1" customWidth="1"/>
    <col min="19" max="19" width="6.5703125" bestFit="1" customWidth="1"/>
    <col min="20" max="21" width="6.7109375" bestFit="1" customWidth="1"/>
  </cols>
  <sheetData>
    <row r="1" spans="1:21" x14ac:dyDescent="0.2">
      <c r="A1" t="s">
        <v>22</v>
      </c>
      <c r="B1" t="s">
        <v>87</v>
      </c>
      <c r="C1" t="s">
        <v>88</v>
      </c>
      <c r="D1" t="s">
        <v>1</v>
      </c>
      <c r="E1" t="s">
        <v>2</v>
      </c>
      <c r="F1" t="s">
        <v>3</v>
      </c>
      <c r="G1" t="s">
        <v>4</v>
      </c>
      <c r="H1" t="s">
        <v>82</v>
      </c>
      <c r="I1" t="s">
        <v>83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4A91B-AEEB-48EA-AA8F-61CD37617154}">
  <dimension ref="A1:U1"/>
  <sheetViews>
    <sheetView workbookViewId="0"/>
  </sheetViews>
  <sheetFormatPr defaultRowHeight="12.75" x14ac:dyDescent="0.2"/>
  <cols>
    <col min="1" max="1" width="26.7109375" bestFit="1" customWidth="1"/>
    <col min="2" max="2" width="14.140625" bestFit="1" customWidth="1"/>
    <col min="3" max="3" width="16.7109375" bestFit="1" customWidth="1"/>
    <col min="4" max="4" width="7.140625" bestFit="1" customWidth="1"/>
    <col min="5" max="5" width="13.85546875" bestFit="1" customWidth="1"/>
    <col min="6" max="6" width="11.42578125" bestFit="1" customWidth="1"/>
    <col min="7" max="7" width="15.140625" bestFit="1" customWidth="1"/>
    <col min="8" max="8" width="13.140625" bestFit="1" customWidth="1"/>
    <col min="9" max="9" width="5.5703125" bestFit="1" customWidth="1"/>
    <col min="10" max="10" width="6.42578125" bestFit="1" customWidth="1"/>
    <col min="11" max="11" width="7" bestFit="1" customWidth="1"/>
    <col min="12" max="12" width="6.5703125" bestFit="1" customWidth="1"/>
    <col min="13" max="13" width="6" bestFit="1" customWidth="1"/>
    <col min="14" max="15" width="6.85546875" bestFit="1" customWidth="1"/>
    <col min="16" max="16" width="6.28515625" bestFit="1" customWidth="1"/>
    <col min="17" max="18" width="6.7109375" bestFit="1" customWidth="1"/>
    <col min="19" max="19" width="6.5703125" bestFit="1" customWidth="1"/>
    <col min="20" max="21" width="6.7109375" bestFit="1" customWidth="1"/>
  </cols>
  <sheetData>
    <row r="1" spans="1:21" x14ac:dyDescent="0.2">
      <c r="A1" t="s">
        <v>22</v>
      </c>
      <c r="B1" t="s">
        <v>80</v>
      </c>
      <c r="C1" t="s">
        <v>81</v>
      </c>
      <c r="D1" t="s">
        <v>1</v>
      </c>
      <c r="E1" t="s">
        <v>2</v>
      </c>
      <c r="F1" t="s">
        <v>3</v>
      </c>
      <c r="G1" t="s">
        <v>4</v>
      </c>
      <c r="H1" t="s">
        <v>82</v>
      </c>
      <c r="I1" t="s">
        <v>83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C78B7-0ED5-4152-9AD2-5A12F22E11B2}">
  <dimension ref="A1:U1"/>
  <sheetViews>
    <sheetView workbookViewId="0"/>
  </sheetViews>
  <sheetFormatPr defaultRowHeight="12.75" x14ac:dyDescent="0.2"/>
  <cols>
    <col min="1" max="1" width="26.7109375" bestFit="1" customWidth="1"/>
    <col min="2" max="2" width="14.140625" bestFit="1" customWidth="1"/>
    <col min="3" max="3" width="16.7109375" bestFit="1" customWidth="1"/>
    <col min="4" max="4" width="7.140625" bestFit="1" customWidth="1"/>
    <col min="5" max="5" width="13.85546875" bestFit="1" customWidth="1"/>
    <col min="6" max="6" width="11.42578125" bestFit="1" customWidth="1"/>
    <col min="7" max="7" width="15.140625" bestFit="1" customWidth="1"/>
    <col min="8" max="8" width="13.140625" bestFit="1" customWidth="1"/>
    <col min="9" max="9" width="5.5703125" bestFit="1" customWidth="1"/>
    <col min="10" max="10" width="6.42578125" bestFit="1" customWidth="1"/>
    <col min="11" max="11" width="7" bestFit="1" customWidth="1"/>
    <col min="12" max="12" width="6.5703125" bestFit="1" customWidth="1"/>
    <col min="13" max="13" width="6" bestFit="1" customWidth="1"/>
    <col min="14" max="15" width="6.85546875" bestFit="1" customWidth="1"/>
    <col min="16" max="16" width="6.28515625" bestFit="1" customWidth="1"/>
    <col min="17" max="18" width="6.7109375" bestFit="1" customWidth="1"/>
    <col min="19" max="19" width="6.5703125" bestFit="1" customWidth="1"/>
    <col min="20" max="21" width="6.7109375" bestFit="1" customWidth="1"/>
    <col min="22" max="22" width="14" bestFit="1" customWidth="1"/>
    <col min="23" max="23" width="13.7109375" bestFit="1" customWidth="1"/>
    <col min="24" max="24" width="13.85546875" bestFit="1" customWidth="1"/>
    <col min="25" max="25" width="11.42578125" bestFit="1" customWidth="1"/>
    <col min="26" max="26" width="15.140625" bestFit="1" customWidth="1"/>
    <col min="27" max="27" width="15.42578125" bestFit="1" customWidth="1"/>
    <col min="28" max="28" width="12.85546875" bestFit="1" customWidth="1"/>
    <col min="29" max="29" width="16.85546875" bestFit="1" customWidth="1"/>
    <col min="30" max="30" width="13.42578125" bestFit="1" customWidth="1"/>
    <col min="31" max="31" width="16.85546875" bestFit="1" customWidth="1"/>
    <col min="32" max="32" width="13.42578125" customWidth="1"/>
    <col min="33" max="33" width="7.140625" bestFit="1" customWidth="1"/>
    <col min="34" max="34" width="14.5703125" bestFit="1" customWidth="1"/>
  </cols>
  <sheetData>
    <row r="1" spans="1:21" x14ac:dyDescent="0.2">
      <c r="A1" t="s">
        <v>22</v>
      </c>
      <c r="B1" t="s">
        <v>80</v>
      </c>
      <c r="C1" t="s">
        <v>81</v>
      </c>
      <c r="D1" t="s">
        <v>1</v>
      </c>
      <c r="E1" t="s">
        <v>2</v>
      </c>
      <c r="F1" t="s">
        <v>3</v>
      </c>
      <c r="G1" t="s">
        <v>4</v>
      </c>
      <c r="H1" t="s">
        <v>82</v>
      </c>
      <c r="I1" t="s">
        <v>83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qlik-reporting-report-data>CiRhYjFhMGJkYS1kNmRjLTRiNGYtYmQwNy1hZmRjYzAzNmE2MTEQARqbAwokODAyNDI2NzctOTdjNi00ZmUyLTkyMjEtOTllOThkOTRiYTUzIiRodHRwczovL3Zpc3VhbGlzZW1lLmV1LnFsaWtjbG91ZC5jb20qzAIKJDBhMTU3YzEyLTg0ZDAtNDAyMi1hZmYyLTQ3MDc0ZjVlMTIxNRIbV0lQIGFuZCBQaXBlTGluZSBSZXBvcnQgMi4wGuABV0lQIGFuZCBQaXBlbGluZSBSZXBvcnQgdHJhY2tzIGpvYi1yZWxhdGVkIGluY29tZTogYWN0dWFscyByZWZsZWN0IG1vbnRoLXRvLWRhdGUgZWFybmluZ3MsIHdoaWxlIGZvcmVjYXN0cyBwcm9qZWN0IGluY29tZSBmb3IgdGhlIHJlc3Qgb2YgdGhlIGZpbmFuY2lhbCB5ZWFyLiBBY3R1YWxzIGFyZSB1cGRhdGVkIHBvc3QgbW9udGgtZW5kIGluIHRoZSBBY3R1YWxzL1BpcGVsaW5lIHJlcG9ydC4iJGIyNGI1ZWQ4LTA3ZDctNDI0ZS04YWJiLTBhNTZjZDcwZjllMSLbAQokMDBlOGU3MjAtOWZlYS00N2E0LWE2ZjItZTM1MGMxZWQwYTJjEgNBcHIqBzxBcHJfMT4yJDgwMjQyNjc3LTk3YzYtNGZlMi05MjIxLTk5ZTk4ZDk0YmE1MzokMGExNTdjMTItODRkMC00MDIyLWFmZjItNDcwNzRmNWUxMjE1Qgdka3dSVkpLUh8KGWV4Y2VsY29sdW1udGFnLnNob3doZWFkZXISAiAAai8KJGU0MGIxNjdjLTI2YTktNGYzNS05MjBlLWZjMzM5YWY3OTU3ZSIHTUVBU1VSRSLYAQokZTRmYjQ5NDktYmUyNS00NjNkLTk0ODQtMDFjNWJmOTMwZWJlEgNNYXkqBzxNYXlfMT4yJDgwMjQyNjc3LTk3YzYtNGZlMi05MjIxLTk5ZTk4ZDk0YmE1MzokMGExNTdjMTItODRkMC00MDIyLWFmZjItNDcwNzRmNWUxMjE1QgR0a3dZUh8KGWV4Y2VsY29sdW1udGFnLnNob3doZWFkZXISAiAAai8KJGU0MGIxNjdjLTI2YTktNGYzNS05MjBlLWZjMzM5YWY3OTU3ZSIHTUVBU1VSRSLbAQokZWE2M2IyNjEtZTUyMy00YzUyLThkMjItODAyZTI5NzYzNzBjEgNKdW4qBzxKdW5fMT4yJDgwMjQyNjc3LTk3YzYtNGZlMi05MjIxLTk5ZTk4ZDk0YmE1MzokMGExNTdjMTItODRkMC00MDIyLWFmZjItNDcwNzRmNWUxMjE1QgdHWVNjRFNxUh8KGWV4Y2VsY29sdW1udGFnLnNob3doZWFkZXISAiAAai8KJGU0MGIxNjdjLTI2YTktNGYzNS05MjBlLWZjMzM5YWY3OTU3ZSIHTUVBU1VSRSLZAQokMjVmMDE4YjktZjE4My00ZGRkLWIzMDAtMzViOGZkMGIzY2UyEgNKdWwqBzxKdWxfMT4yJDgwMjQyNjc3LTk3YzYtNGZlMi05MjIxLTk5ZTk4ZDk0YmE1MzokMGExNTdjMTItODRkMC00MDIyLWFmZjItNDcwNzRmNWUxMjE1QgVKZ2Z4d1IfChlleGNlbGNvbHVtbnRhZy5zaG93aGVhZGVyEgIgAGovCiRlNDBiMTY3Yy0yNmE5LTRmMzUtOTIwZS1mYzMzOWFmNzk1N2UiB01FQVNVUkUi2gEKJGYwZmFiODY1LTdlNjEtNGE0YS1hZDcxLWY2OTA5YmEzMmMwNRIDQXVnKgc8QXVnXzE+MiQ4MDI0MjY3Ny05N2M2LTRmZTItOTIyMS05OWU5OGQ5NGJhNTM6JDBhMTU3YzEyLTg0ZDAtNDAyMi1hZmYyLTQ3MDc0ZjVlMTIxNUIGQlFRa2tQUh8KGWV4Y2VsY29sdW1udGFnLnNob3doZWFkZXISAiAAai8KJGU0MGIxNjdjLTI2YTktNGYzNS05MjBlLWZjMzM5YWY3OTU3ZSIHTUVBU1VSRSLaAQokNGJjZTU3M2YtNTQwMS00YWQzLWE2OGYtMDY2YmUzYWNmNzcxEgNTZXAqBzxTZXBfMT4yJDgwMjQyNjc3LTk3YzYtNGZlMi05MjIxLTk5ZTk4ZDk0YmE1MzokMGExNTdjMTItODRkMC00MDIyLWFmZjItNDcwNzRmNWUxMjE1QgZmSlNqdE5SHwoZZXhjZWxjb2x1bW50YWcuc2hvd2hlYWRlchICIABqLwokZTQwYjE2N2MtMjZhOS00ZjM1LTkyMGUtZmMzMzlhZjc5NTdlIgdNRUFTVVJFItsBCiQwYTExMjVhOC04MmQ2LTQ5NTQtYWY3Ny04YjJjZDhlNDA0MGESA09jdCoHPE9jdF8xPjIkODAyNDI2NzctOTdjNi00ZmUyLTkyMjEtOTllOThkOTRiYTUzOiQwYTE1N2MxMi04NGQwLTQwMjItYWZmMi00NzA3NGY1ZTEyMTVCB0VtYVNidUpSHwoZZXhjZWxjb2x1bW50YWcuc2hvd2hlYWRlchICIABqLwokZTQwYjE2N2MtMjZhOS00ZjM1LTkyMGUtZmMzMzlhZjc5NTdlIgdNRUFTVVJFItsBCiQ3ZmRkODQ4OS1iMmQzLTQwNjgtOGYxOS0xNmM1ZjM1YjlmZDESA05vdioHPE5vdl8xPjIkODAyNDI2NzctOTdjNi00ZmUyLTkyMjEtOTllOThkOTRiYTUzOiQwYTE1N2MxMi04NGQwLTQwMjItYWZmMi00NzA3NGY1ZTEyMTVCB0FTQWprV1dSHwoZZXhjZWxjb2x1bW50YWcuc2hvd2hlYWRlchICIABqLwokZTQwYjE2N2MtMjZhOS00ZjM1LTkyMGUtZmMzMzlhZjc5NTdlIgdNRUFTVVJFItoBCiQ3MzFlYjY1NC02OWE1LTQ0N2EtOTlhNi0yOGNlZjNiNWMyNTESA0RlYyoHPERlY18xPjIkODAyNDI2NzctOTdjNi00ZmUyLTkyMjEtOTllOThkOTRiYTUzOiQwYTE1N2MxMi04NGQwLTQwMjItYWZmMi00NzA3NGY1ZTEyMTVCBnpXbVROSlIfChlleGNlbGNvbHVtbnRhZy5zaG93aGVhZGVyEgIgAGovCiRlNDBiMTY3Yy0yNmE5LTRmMzUtOTIwZS1mYzMzOWFmNzk1N2UiB01FQVNVUkUi2wEKJDMzNTZkNTUxLWZlYzAtNGQyZC1hOGE1LTdmNjI5YjQ1ZjE1YxIDSmFuKgc8SmFuXzE+MiQ4MDI0MjY3Ny05N2M2LTRmZTItOTIyMS05OWU5OGQ5NGJhNTM6JDBhMTU3YzEyLTg0ZDAtNDAyMi1hZmYyLTQ3MDc0ZjVlMTIxNUIHUmtma0R4RVIfChlleGNlbGNvbHVtbnRhZy5zaG93aGVhZGVyEgIgAGovCiRlNDBiMTY3Yy0yNmE5LTRmMzUtOTIwZS1mYzMzOWFmNzk1N2UiB01FQVNVUkUi2QEKJDMwOTJiZDI0LThkM2UtNDRhYy04NWFlLTRhN2NiOGRlOTFjZBIDRmViKgc8RmViXzE+MiQ4MDI0MjY3Ny05N2M2LTRmZTItOTIyMS05OWU5OGQ5NGJhNTM6JDBhMTU3YzEyLTg0ZDAtNDAyMi1hZmYyLTQ3MDc0ZjVlMTIxNUIFTXVISmhSHwoZZXhjZWxjb2x1bW50YWcuc2hvd2hlYWRlchICIABqLwokZTQwYjE2N2MtMjZhOS00ZjM1LTkyMGUtZmMzMzlhZjc5NTdlIgdNRUFTVVJFItsBCiQ4ZTk3NDBlNi1mNGRjLTRkNDctYWFmZS0yMDdhN2EyZjgyZmUSA01hcioHPE1hcl8xPjIkODAyNDI2NzctOTdjNi00ZmUyLTkyMjEtOTllOThkOTRiYTUzOiQwYTE1N2MxMi04NGQwLTQwMjItYWZmMi00NzA3NGY1ZTEyMTVCB3hlZ2JIZmhSHwoZZXhjZWxjb2x1bW50YWcuc2hvd2hlYWRlchICIABqLwokZTQwYjE2N2MtMjZhOS00ZjM1LTkyMGUtZmMzMzlhZjc5NTdlIgdNRUFTVVJFIukBCiQ0YjI2YjFhZC1hZTE5LTQ3OTctOTRhMi02OThmYTE5Mjc4YjUSCFdlaWdodGVkKgo8V2VpZ2h0ZWQ+MiQ4MDI0MjY3Ny05N2M2LTRmZTItOTIyMS05OWU5OGQ5NGJhNTM6JDBhMTU3YzEyLTg0ZDAtNDAyMi1hZmYyLTQ3MDc0ZjVlMTIxNUINMTBnMDgwbDBlMGowZVIfChlleGNlbGNvbHVtbnRhZy5zaG93aGVhZGVyEgIgAGovCiRlNDBiMTY3Yy0yNmE5LTRmMzUtOTIwZS1mYzMzOWFmNzk1N2UiB01FQVNVUkUi6QEKJDY1OTJjZTQyLTk0MDEtNDhmNi1hZDE1LWFjZjYzODQ2NzcyYhIITWlkcG9pbnQqCjxNaWRwb2ludD4yJDgwMjQyNjc3LTk3YzYtNGZlMi05MjIxLTk5ZTk4ZDk0YmE1MzokMGExNTdjMTItODRkMC00MDIyLWFmZjItNDcwNzRmNWUxMjE1Qg0xMDcwZjBrMHIwNDA3Uh8KGWV4Y2VsY29sdW1udGFnLnNob3doZWFkZXISAiAAai8KJGU0MGIxNjdjLTI2YTktNGYzNS05MjBlLWZjMzM5YWY3OTU3ZSIHTUVBU1VSRSK5BgokZTQwYjE2N2MtMjZhOS00ZjM1LTkyMGUtZmMzMzlhZjc5NTdlEg1UYWJsZSBIZWFkZXJzGg1UYWJsZSBIZWFkZXJzKg88VGFibGUgSGVhZGVycz4yJDgwMjQyNjc3LTk3YzYtNGZlMi05MjIxLTk5ZTk4ZDk0YmE1MzokMGExNTdjMTItODRkMC00MDIyLWFmZjItNDcwNzRmNWUxMjE1QgZqcFNHWnpKCHNuLXRhYmxlUiQKHmV4Y2VsdGFibGV0YWcuZXhwYW5kdmVydGljYWxseRICGABSHwoZZXhjZWx0YWJsZXRhZy5zaG93aGVhZGVycxICIABSHAoWZXhjZWx0YWJsZXRhZy53cmFwdGV4dBICGAFingQKJDAwZThlNzIwLTlmZWEtNDdhNC1hNmYyLWUzNTBjMWVkMGEyYwokZTRmYjQ5NDktYmUyNS00NjNkLTk0ODQtMDFjNWJmOTMwZWJlCiRlYTYzYjI2MS1lNTIzLTRjNTItOGQyMi04MDJlMjk3NjM3MGMKJDI1ZjAxOGI5LWYxODMtNGRkZC1iMzAwLTM1YjhmZDBiM2NlMgokZjBmYWI4NjUtN2U2MS00YTRhLWFkNzEtZjY5MDliYTMyYzA1CiQ0YmNlNTczZi01NDAxLTRhZDMtYTY4Zi0wNjZiZTNhY2Y3NzEKJDBhMTEyNWE4LTgyZDYtNDk1NC1hZjc3LThiMmNkOGU0MDQwYQokN2ZkZDg0ODktYjJkMy00MDY4LThmMTktMTZjNWYzNWI5ZmQxCiQ3MzFlYjY1NC02OWE1LTQ0N2EtOTlhNi0yOGNlZjNiNWMyNTEKJDMzNTZkNTUxLWZlYzAtNGQyZC1hOGE1LTdmNjI5YjQ1ZjE1YwokMzA5MmJkMjQtOGQzZS00NGFjLTg1YWUtNGE3Y2I4ZGU5MWNkCiQ4ZTk3NDBlNi1mNGRjLTRkNDctYWFmZS0yMDdhN2EyZjgyZmUKJDRiMjZiMWFkLWFlMTktNDc5Ny05NGEyLTY5OGZhMTkyNzhiNQokNjU5MmNlNDItOTQwMS00OGY2LWFkMTUtYWNmNjM4NDY3NzJiGghTVFJBSUdIVCK2AQokYzc1NWMwNDUtYWU2Mi00ZjFjLTk1NTQtMjlhNDA1YmM0ODhjEgRVc2VyGgRVc2VyKgY8VXNlcj4yJDgwMjQyNjc3LTk3YzYtNGZlMi05MjIxLTk5ZTk4ZDk0YmE1MzokMGExNTdjMTItODRkMC00MDIyLWFmZjItNDcwNzRmNWUxMjE1QgRVc2VySgpleHByZXNzaW9uggEbChk9R2V0VXNlckF0dHIoJ3VzZXJFbWFpbCcpIpACCiRlOWRlM2M3OS1iYjhlLTQzMTctYTFiYS0yNWY2YTFjNjQyYjISH0pvYi9Qcm9wb3NhbC9PcHBvcnR1bml0eSBOdW1iZXIqITxKb2IvUHJvcG9zYWwvT3Bwb3J0dW5pdHkgTnVtYmVyPjIkODAyNDI2NzctOTdjNi00ZmUyLTkyMjEtOTllOThkOTRiYTUzOiQwYTE1N2MxMi04NGQwLTQwMjItYWZmMi00NzA3NGY1ZTEyMTVCBHpnREJSHwoZZXhjZWxjb2x1bW50YWcuc2hvd2hlYWRlchICIABqMQokYzVjYTk2NjQtZWYzZS00OWQ4LTkzMGEtYTlmZGNhMjUwOTlmIglESU1FTlNJT04ijwIKJDA3MzAzOGI4LTdjODUtNDdhYy1iMDZhLTMwZjJhNzBlNDQ1YxIdSm9iL1Byb3Bvc2FsL09wcG9ydHVuaXR5IE5hbWUqHzxKb2IvUHJvcG9zYWwvT3Bwb3J0dW5pdHkgTmFtZT4yJDgwMjQyNjc3LTk3YzYtNGZlMi05MjIxLTk5ZTk4ZDk0YmE1MzokMGExNTdjMTItODRkMC00MDIyLWFmZjItNDcwNzRmNWUxMjE1QgdYd1RCSnNiUh8KGWV4Y2VsY29sdW1udGFnLnNob3doZWFkZXISAiAAajEKJGM1Y2E5NjY0LWVmM2UtNDlkOC05MzBhLWE5ZmRjYTI1MDk5ZiIJRElNRU5TSU9OIvcBCiQ4ZTczMWJiNS1mMGU2LTRjNjAtOWYxZS1lNmFmMTE5OWZmN2USEkluc3RydWN0aW5nIENsaWVudCoUPEluc3RydWN0aW5nIENsaWVudD4yJDgwMjQyNjc3LTk3YzYtNGZlMi05MjIxLTk5ZTk4ZDk0YmE1MzokMGExNTdjMTItODRkMC00MDIyLWFmZjItNDcwNzRmNWUxMjE1QgVReUpkSlIfChlleGNlbGNvbHVtbnRhZy5zaG93aGVhZGVyEgIgAGoxCiRjNWNhOTY2NC1lZjNlLTQ5ZDgtOTMwYS1hOWZkY2EyNTA5OWYiCURJTUVOU0lPTiLhAQokMDY2ZDc4MGEtNjVkOC00NjEzLThjNTYtZmNjY2I0NTlkNDIyEgNKVU0qBTxKVU0+MiQ4MDI0MjY3Ny05N2M2LTRmZTItOTIyMS05OWU5OGQ5NGJhNTM6JDBhMTU3YzEyLTg0ZDAtNDAyMi1hZmYyLTQ3MDc0ZjVlMTIxNUINMTAxMDUwbjBuMDEwMlIfChlleGNlbGNvbHVtbnRhZy5zaG93aGVhZGVyEgIgAGoxCiRjNWNhOTY2NC1lZjNlLTQ5ZDgtOTMwYS1hOWZkY2EyNTA5OWYiCURJTUVOU0lPTiLvAQokMDgwYjRkNmEtZGI4Mi00YTMwLWI2MTQtZmM1OTg4YzBhYTNhEgpEZXBhcnRtZW50Kgw8RGVwYXJ0bWVudD4yJDgwMjQyNjc3LTk3YzYtNGZlMi05MjIxLTk5ZTk4ZDk0YmE1MzokMGExNTdjMTItODRkMC00MDIyLWFmZjItNDcwNzRmNWUxMjE1Qg0xMGowajA3MHIwZDA4Uh8KGWV4Y2VsY29sdW1udGFnLnNob3doZWFkZXISAiAAajEKJGM1Y2E5NjY0LWVmM2UtNDlkOC05MzBhLWE5ZmRjYTI1MDk5ZiIJRElNRU5TSU9OIukBCiRmMGM5OGI2NC01ZDk4LTQ5MmItOTUzMy01M2FlNDVhODc4MDgSB1N1YnRlYW0qCTxTdWJ0ZWFtPjIkODAyNDI2NzctOTdjNi00ZmUyLTkyMjEtOTllOThkOTRiYTUzOiQwYTE1N2MxMi04NGQwLTQwMjItYWZmMi00NzA3NGY1ZTEyMTVCDTEwYjBxMGcwNDBqMGFSHwoZZXhjZWxjb2x1bW50YWcuc2hvd2hlYWRlchICIABqMQokYzVjYTk2NjQtZWYzZS00OWQ4LTkzMGEtYTlmZGNhMjUwOTlmIglESU1FTlNJT04i8wEKJDA0OGNmMWFmLTAzN2YtNDhkOC05ODk3LWQzY2FhZDM1N2I0MRIMU2VydmljZSBUeXBlKg48U2VydmljZSBUeXBlPjIkODAyNDI2NzctOTdjNi00ZmUyLTkyMjEtOTllOThkOTRiYTUzOiQwYTE1N2MxMi04NGQwLTQwMjItYWZmMi00NzA3NGY1ZTEyMTVCDTEwMzBtMHIwNTBmMHVSHwoZZXhjZWxjb2x1bW50YWcuc2hvd2hlYWRlchICIABqMQokYzVjYTk2NjQtZWYzZS00OWQ4LTkzMGEtYTlmZGNhMjUwOTlmIglESU1FTlNJT04i8wEKJGVjYjM4ZDBmLTQ4MzUtNGZlZi04MWY3LWExNDhiNjhmMGJlZRIMRmluYW5jZSBZZWFyKg48RmluYW5jZSBZZWFyPjIkODAyNDI2NzctOTdjNi00ZmUyLTkyMjEtOTllOThkOTRiYTUzOiQwYTE1N2MxMi04NGQwLTQwMjItYWZmMi00NzA3NGY1ZTEyMTVCDTEwazBuMGUwZjBrMHBSHwoZZXhjZWxjb2x1bW50YWcuc2hvd2hlYWRlchICIABqMQokYzVjYTk2NjQtZWYzZS00OWQ4LTkzMGEtYTlmZGNhMjUwOTlmIglESU1FTlNJT04igQIKJDExNzEzM2MwLTgxMTItNGZkZi04MDQzLWY4MzI3MDM3NWJiMRIXVG90YWwgYmlsbGVkIHRvIGRhdGUgwqMqGTxUb3RhbCBiaWxsZWQgdG8gZGF0ZSDCoz4yJDgwMjQyNjc3LTk3YzYtNGZlMi05MjIxLTk5ZTk4ZDk0YmE1MzokMGExNTdjMTItODRkMC00MDIyLWFmZjItNDcwNzRmNWUxMjE1QgdZdmtqZ1B1Uh8KGWV4Y2VsY29sdW1udGFnLnNob3doZWFkZXISAiAAai8KJGM1Y2E5NjY0LWVmM2UtNDlkOC05MzBhLWE5ZmRjYTI1MDk5ZiIHTUVBU1VSRSLvAQokZDFkNTQwNzktZTg0My00YjA0LTkxNjAtMjJiMTAyMjRiZDlkEgtXZWlnaHRpbmcgJSoNPFdlaWdodGluZyAlPjIkODAyNDI2NzctOTdjNi00ZmUyLTkyMjEtOTllOThkOTRiYTUzOiQwYTE1N2MxMi04NGQwLTQwMjItYWZmMi00NzA3NGY1ZTEyMTVCDTEwaTBvMHMwYjBkMDlSHwoZZXhjZWxjb2x1bW50YWcuc2hvd2hlYWRlchICIABqLwokYzVjYTk2NjQtZWYzZS00OWQ4LTkzMGEtYTlmZGNhMjUwOTlmIgdNRUFTVVJFIoACCiRmNDc0NDZiNC1iOTNlLTRiNGYtOTNkMC1jM2RjZGU5ODAyNzkSF1RPVEFMCkFDVFVBTCArIFBJUEVMSU5FKhg8VE9UQUxBQ1RVQUwgKyBQSVBFTElORT4yJDgwMjQyNjc3LTk3YzYtNGZlMi05MjIxLTk5ZTk4ZDk0YmE1MzokMGExNTdjMTItODRkMC00MDIyLWFmZjItNDcwNzRmNWUxMjE1QgdtbWdETndSUh8KGWV4Y2VsY29sdW1udGFnLnNob3doZWFkZXISAiAAai8KJGM1Y2E5NjY0LWVmM2UtNDlkOC05MzBhLWE5ZmRjYTI1MDk5ZiIHTUVBU1VSRSLfAQokNTM5MjM3M2YtMTc2OC00ZGVlLTk5NWUtOGE5N2FlOWRmNjcwEgNBcHIqBTxBcHI+MiQ4MDI0MjY3Ny05N2M2LTRmZTItOTIyMS05OWU5OGQ5NGJhNTM6JDBhMTU3YzEyLTg0ZDAtNDAyMi1hZmYyLTQ3MDc0ZjVlMTIxNUINMTBiMGEwNDAxMDYwblIfChlleGNlbGNvbHVtbnRhZy5zaG93aGVhZGVyEgIgAGovCiRjNWNhOTY2NC1lZjNlLTQ5ZDgtOTMwYS1hOWZkY2EyNTA5OWYiB01FQVNVUkUi3wEKJGRkYTI5ZDQ5LTc1MDMtNGUwYS1iMjkwLWM1NDNmYzAxNjlhZRIDTWF5KgU8TWF5PjIkODAyNDI2NzctOTdjNi00ZmUyLTkyMjEtOTllOThkOTRiYTUzOiQwYTE1N2MxMi04NGQwLTQwMjItYWZmMi00NzA3NGY1ZTEyMTVCDTEwYTBhMG4wYjAyMDRSHwoZZXhjZWxjb2x1bW50YWcuc2hvd2hlYWRlchICIABqLwokYzVjYTk2NjQtZWYzZS00OWQ4LTkzMGEtYTlmZGNhMjUwOTlmIgdNRUFTVVJFIt8BCiQzYmRlNzg0Ny03N2ZhLTRmOWItODk0YS04ZDE4NDliODFjNTYSA0p1bioFPEp1bj4yJDgwMjQyNjc3LTk3YzYtNGZlMi05MjIxLTk5ZTk4ZDk0YmE1MzokMGExNTdjMTItODRkMC00MDIyLWFmZjItNDcwNzRmNWUxMjE1Qg0xMDQwcTBxMGYwOTBhUh8KGWV4Y2VsY29sdW1udGFnLnNob3doZWFkZXISAiAAai8KJGM1Y2E5NjY0LWVmM2UtNDlkOC05MzBhLWE5ZmRjYTI1MDk5ZiIHTUVBU1VSRSLXAQokNDY3YzJlZWUtZGY1OS00NWY2LWIyMWMtMTJjYjQzYTAxYjEzEgNKdWwqBTxKdWw+MiQ4MDI0MjY3Ny05N2M2LTRmZTItOTIyMS05OWU5OGQ5NGJhNTM6JDBhMTU3YzEyLTg0ZDAtNDAyMi1hZmYyLTQ3MDc0ZjVlMTIxNUIFSmdmeHdSHwoZZXhjZWxjb2x1bW50YWcuc2hvd2hlYWRlchICIABqLwokYzVjYTk2NjQtZWYzZS00OWQ4LTkzMGEtYTlmZGNhMjUwOTlmIgdNRUFTVVJFItgBCiRiYjhlMTEwYy02MTFiLTQ4NzQtODY3NC0wYTAwYzU0ZGI0ZDYSA0F1ZyoFPEF1Zz4yJDgwMjQyNjc3LTk3YzYtNGZlMi05MjIxLTk5ZTk4ZDk0YmE1MzokMGExNTdjMTItODRkMC00MDIyLWFmZjItNDcwNzRmNWUxMjE1QgZCUVFra1BSHwoZZXhjZWxjb2x1bW50YWcuc2hvd2hlYWRlchICIABqLwokYzVjYTk2NjQtZWYzZS00OWQ4LTkzMGEtYTlmZGNhMjUwOTlmIgdNRUFTVVJFItgBCiQ0Njc2OTY0ZC0zYmQxLTQxYjctYTgxYi1iNTBmYTk1ZTNlMDYSA1NlcCoFPFNlcD4yJDgwMjQyNjc3LTk3YzYtNGZlMi05MjIxLTk5ZTk4ZDk0YmE1MzokMGExNTdjMTItODRkMC00MDIyLWFmZjItNDcwNzRmNWUxMjE1QgZmSlNqdE5SHwoZZXhjZWxjb2x1bW50YWcuc2hvd2hlYWRlchICIABqLwokYzVjYTk2NjQtZWYzZS00OWQ4LTkzMGEtYTlmZGNhMjUwOTlmIgdNRUFTVVJFItkBCiQ1MzI4YmE4NS0wMjBkLTRmMzEtYTIyNS1iNzZkNGY1MTAyNDMSA09jdCoFPE9jdD4yJDgwMjQyNjc3LTk3YzYtNGZlMi05MjIxLTk5ZTk4ZDk0YmE1MzokMGExNTdjMTItODRkMC00MDIyLWFmZjItNDcwNzRmNWUxMjE1QgdFbWFTYnVKUh8KGWV4Y2VsY29sdW1udGFnLnNob3doZWFkZXISAiAAai8KJGM1Y2E5NjY0LWVmM2UtNDlkOC05MzBhLWE5ZmRjYTI1MDk5ZiIHTUVBU1VSRSLZAQokMzBmMzliMDEtZDI5NC00M2YzLWJkMWQtNmU5ODNmM2IwNzkxEgNOb3YqBTxOb3Y+MiQ4MDI0MjY3Ny05N2M2LTRmZTItOTIyMS05OWU5OGQ5NGJhNTM6JDBhMTU3YzEyLTg0ZDAtNDAyMi1hZmYyLTQ3MDc0ZjVlMTIxNUIHQVNBamtXV1IfChlleGNlbGNvbHVtbnRhZy5zaG93aGVhZGVyEgIgAGovCiRjNWNhOTY2NC1lZjNlLTQ5ZDgtOTMwYS1hOWZkY2EyNTA5OWYiB01FQVNVUkUi2AEKJDU2Y2Y4NWRlLWU3OTYtNGUyOC1iNjI0LTRhMjc1OGQxN2U4MxIDRGVjKgU8RGVjPjIkODAyNDI2NzctOTdjNi00ZmUyLTkyMjEtOTllOThkOTRiYTUzOiQwYTE1N2MxMi04NGQwLTQwMjItYWZmMi00NzA3NGY1ZTEyMTVCBnpXbVROSlIfChlleGNlbGNvbHVtbnRhZy5zaG93aGVhZGVyEgIgAGovCiRjNWNhOTY2NC1lZjNlLTQ5ZDgtOTMwYS1hOWZkY2EyNTA5OWYiB01FQVNVUkUi2QEKJGQ0Y2FhMTc3LTEyZWYtNGJiOS05NTU0LTEwNTNlYTliZWFkNRIDSmFuKgU8SmFuPjIkODAyNDI2NzctOTdjNi00ZmUyLTkyMjEtOTllOThkOTRiYTUzOiQwYTE1N2MxMi04NGQwLTQwMjItYWZmMi00NzA3NGY1ZTEyMTVCB1JrZmtEeEVSHwoZZXhjZWxjb2x1bW50YWcuc2hvd2hlYWRlchICIABqLwokYzVjYTk2NjQtZWYzZS00OWQ4LTkzMGEtYTlmZGNhMjUwOTlmIgdNRUFTVVJFItcBCiQyZTMyYjFiYi1kMDA5LTQ3ZjAtOTU4MC1hYmE5NjhkMGIyZjESA0ZlYioFPEZlYj4yJDgwMjQyNjc3LTk3YzYtNGZlMi05MjIxLTk5ZTk4ZDk0YmE1MzokMGExNTdjMTItODRkMC00MDIyLWFmZjItNDcwNzRmNWUxMjE1QgVNdUhKaFIfChlleGNlbGNvbHVtbnRhZy5zaG93aGVhZGVyEgIgAGovCiRjNWNhOTY2NC1lZjNlLTQ5ZDgtOTMwYS1hOWZkY2EyNTA5OWYiB01FQVNVUkUi2QEKJDI5ZTU4ZDY4LWJmZDktNGM1Yi1iOWVhLWZiMTY5Y2UyMjU0ZhIDTWFyKgU8TWFyPjIkODAyNDI2NzctOTdjNi00ZmUyLTkyMjEtOTllOThkOTRiYTUzOiQwYTE1N2MxMi04NGQwLTQwMjItYWZmMi00NzA3NGY1ZTEyMTVCB3hlZ2JIZmhSHwoZZXhjZWxjb2x1bW50YWcuc2hvd2hlYWRlchICIABqLwokYzVjYTk2NjQtZWYzZS00OWQ4LTkzMGEtYTlmZGNhMjUwOTlmIgdNRUFTVVJFIvEBCiQ4YTQ3YzUzNi0yZWI3LTRiY2EtYWYzZS1lN2ViZjMxMzYwM2QSC2ZvcmVjYXN0a2V5Kg08Zm9yZWNhc3RrZXk+MiQ4MDI0MjY3Ny05N2M2LTRmZTItOTIyMS05OWU5OGQ5NGJhNTM6JDBhMTU3YzEyLTg0ZDAtNDAyMi1hZmYyLTQ3MDc0ZjVlMTIxNUINMTBqMGEwcTA0MGowOVIfChlleGNlbGNvbHVtbnRhZy5zaG93aGVhZGVyEgIgAGoxCiRjNWNhOTY2NC1lZjNlLTQ5ZDgtOTMwYS1hOWZkY2EyNTA5OWYiCURJTUVOU0lPTiKLAgokMmQ5YjNiZjgtZGY4OC00YzZiLWFlMmItYTRmNzJiOWRkZWQ0EhhleHBlY3RlZF9mZWVfaW50ZXJuYWxfaWQqGjxleHBlY3RlZF9mZWVfaW50ZXJuYWxfaWQ+MiQ4MDI0MjY3Ny05N2M2LTRmZTItOTIyMS05OWU5OGQ5NGJhNTM6JDBhMTU3YzEyLTg0ZDAtNDAyMi1hZmYyLTQ3MDc0ZjVlMTIxNUINMTAxMHAwMzBvMGQwMVIfChlleGNlbGNvbHVtbnRhZy5zaG93aGVhZGVyEgIgAGoxCiRjNWNhOTY2NC1lZjNlLTQ5ZDgtOTMwYS1hOWZkY2EyNTA5OWYiCURJTUVOU0lPTiLpAQokYzllMWI3NDctNDI4My00Y2VmLTk5MDEtYjA5NTQyOTZjZjQyEghyZWNvcmRpZCoKPHJlY29yZGlkPjIkODAyNDI2NzctOTdjNi00ZmUyLTkyMjEtOTllOThkOTRiYTUzOiQwYTE1N2MxMi04NGQwLTQwMjItYWZmMi00NzA3NGY1ZTEyMTVCDTEwZDBlMDcwZTBmMHJSHwoZZXhjZWxjb2x1bW50YWcuc2hvd2hlYWRlchICIABqLwokYzVjYTk2NjQtZWYzZS00OWQ4LTkzMGEtYTlmZGNhMjUwOTlmIgdNRUFTVVJFIvEBCiRhNTM2YmM0My00YjI0LTRhYTYtOGJlOS1kYWM2ZWFjYzYwNDYSC3JlY29yZF90eXBlKg08cmVjb3JkX3R5cGU+MiQ4MDI0MjY3Ny05N2M2LTRmZTItOTIyMS05OWU5OGQ5NGJhNTM6JDBhMTU3YzEyLTg0ZDAtNDAyMi1hZmYyLTQ3MDc0ZjVlMTIxNUINMTA4MG0wYjBsMGswMlIfChlleGNlbGNvbHVtbnRhZy5zaG93aGVhZGVyEgIgAGoxCiRjNWNhOTY2NC1lZjNlLTQ5ZDgtOTMwYS1hOWZkY2EyNTA5OWYiCURJTUVOU0lPTiLlAQokOWY2YTA1OGUtOGY1ZS00ZWJlLWEwY2MtZjViNmZjYzlkODFhEgZyb3dfaWQqCDxyb3dfaWQ+MiQ4MDI0MjY3Ny05N2M2LTRmZTItOTIyMS05OWU5OGQ5NGJhNTM6JDBhMTU3YzEyLTg0ZDAtNDAyMi1hZmYyLTQ3MDc0ZjVlMTIxNUINMTAyMHAwdDA2MDkwa1IfChlleGNlbGNvbHVtbnRhZy5zaG93aGVhZGVyEgIgAGovCiRjNWNhOTY2NC1lZjNlLTQ5ZDgtOTMwYS1hOWZkY2EyNTA5OWYiB01FQVNVUkUiwgoKJGM1Y2E5NjY0LWVmM2UtNDlkOC05MzBhLWE5ZmRjYTI1MDk5ZhIJV0lQIChFVEwpGglXSVAgKEVUTCkqCzxXSVAgKEVUTCk+MiQ4MDI0MjY3Ny05N2M2LTRmZTItOTIyMS05OWU5OGQ5NGJhNTM6JDBhMTU3YzEyLTg0ZDAtNDAyMi1hZmYyLTQ3MDc0ZjVlMTIxNUIHZEZ0bWFqakoIc24tdGFibGVSJAoeZXhjZWx0YWJsZXRhZy5leHBhbmR2ZXJ0aWNhbGx5EgIYAVIfChlleGNlbHRhYmxldGFnLnNob3doZWFkZXJzEgIgAFIcChZleGNlbHRhYmxldGFnLndyYXB0ZXh0EgIYAGKyCAokZTlkZTNjNzktYmI4ZS00MzE3LWExYmEtMjVmNmExYzY0MmIyCiQwNzMwMzhiOC03Yzg1LTQ3YWMtYjA2YS0zMGYyYTcwZTQ0NWMKJDhlNzMxYmI1LWYwZTYtNGM2MC05ZjFlLWU2YWYxMTk5ZmY3ZQokMDY2ZDc4MGEtNjVkOC00NjEzLThjNTYtZmNjY2I0NTlkNDIyCiQwODBiNGQ2YS1kYjgyLTRhMzAtYjYxNC1mYzU5ODhjMGFhM2EKJGYwYzk4YjY0LTVkOTgtNDkyYi05NTMzLTUzYWU0NWE4NzgwOAokMDQ4Y2YxYWYtMDM3Zi00OGQ4LTk4OTctZDNjYWFkMzU3YjQxCiRlY2IzOGQwZi00ODM1LTRmZWYtODFmNy1hMTQ4YjY4ZjBiZWUKJDExNzEzM2MwLTgxMTItNGZkZi04MDQzLWY4MzI3MDM3NWJiMQokZDFkNTQwNzktZTg0My00YjA0LTkxNjAtMjJiMTAyMjRiZDlkCiRmNDc0NDZiNC1iOTNlLTRiNGYtOTNkMC1jM2RjZGU5ODAyNzkKJDUzOTIzNzNmLTE3NjgtNGRlZS05OTVlLThhOTdhZTlkZjY3MAokZGRhMjlkNDktNzUwMy00ZTBhLWIyOTAtYzU0M2ZjMDE2OWFlCiQzYmRlNzg0Ny03N2ZhLTRmOWItODk0YS04ZDE4NDliODFjNTYKJDQ2N2MyZWVlLWRmNTktNDVmNi1iMjFjLTEyY2I0M2EwMWIxMwokYmI4ZTExMGMtNjExYi00ODc0LTg2NzQtMGEwMGM1NGRiNGQ2CiQ0Njc2OTY0ZC0zYmQxLTQxYjctYTgxYi1iNTBmYTk1ZTNlMDYKJDUzMjhiYTg1LTAyMGQtNGYzMS1hMjI1LWI3NmQ0ZjUxMDI0MwokMzBmMzliMDEtZDI5NC00M2YzLWJkMWQtNmU5ODNmM2IwNzkxCiQ1NmNmODVkZS1lNzk2LTRlMjgtYjYyNC00YTI3NThkMTdlODMKJGQ0Y2FhMTc3LTEyZWYtNGJiOS05NTU0LTEwNTNlYTliZWFkNQokMmUzMmIxYmItZDAwOS00N2YwLTk1ODAtYWJhOTY4ZDBiMmYxCiQyOWU1OGQ2OC1iZmQ5LTRjNWItYjllYS1mYjE2OWNlMjI1NGYKJDhhNDdjNTM2LTJlYjctNGJjYS1hZjNlLWU3ZWJmMzEzNjAzZAokMmQ5YjNiZjgtZGY4OC00YzZiLWFlMmItYTRmNzJiOWRkZWQ0CiRjOWUxYjc0Ny00MjgzLTRjZWYtOTkwMS1iMDk1NDI5NmNmNDIKJGE1MzZiYzQzLTRiMjQtNGFhNi04YmU5LWRhYzZlYWNjNjA0NgokOWY2YTA1OGUtOGY1ZS00ZWJlLWEwY2MtZjViNmZjYzlkODFhGghTVFJBSUdIVCLjAQokYTBjNDIwMmQtOTQ3Ni00MzdiLTkzMmYtYjRjMjNlNWI0YWVhEgNKVU0qBzxKVU1fMj4yJDgwMjQyNjc3LTk3YzYtNGZlMi05MjIxLTk5ZTk4ZDk0YmE1MzokMGExNTdjMTItODRkMC00MDIyLWFmZjItNDcwNzRmNWUxMjE1Qg0xMDEwNTBuMG4wMTAyUh8KGWV4Y2VsY29sdW1udGFnLnNob3doZWFkZXISAiAAajEKJGVlN2FhYWZmLWY5ODYtNGU2MS1hNDY5LTRiYTJlMDQzZmUwZSIJRElNRU5TSU9OIq8CCiRlZTdhYWFmZi1mOTg2LTRlNjEtYTQ2OS00YmEyZTA0M2ZlMGUSA0pVTRoDSlVNKgc8SlVNXzE+MiQ4MDI0MjY3Ny05N2M2LTRmZTItOTIyMS05OWU5OGQ5NGJhNTM6JDBhMTU3YzEyLTg0ZDAtNDAyMi1hZmYyLTQ3MDc0ZjVlMTIxNUIHWUtOa0p3SkoIc24tdGFibGVSJAoeZXhjZWx0YWJsZXRhZy5leHBhbmR2ZXJ0aWNhbGx5EgIYAFIfChlleGNlbHRhYmxldGFnLnNob3doZWFkZXJzEgIgAFIcChZleGNlbHRhYmxldGFnLndyYXB0ZXh0EgIYAGIwCiRhMGM0MjAyZC05NDc2LTQzN2ItOTMyZi1iNGMyM2U1YjRhZWEaCFNUUkFJR0hUKgIIBg==</qlik-reporting-report-data>
</file>

<file path=customXml/item2.xml>��
</file>

<file path=customXml/itemProps1.xml><?xml version="1.0" encoding="utf-8"?>
<ds:datastoreItem xmlns:ds="http://schemas.openxmlformats.org/officeDocument/2006/customXml" ds:itemID="{F07E4A82-C285-432A-9CE5-2156244BB113}">
  <ds:schemaRefs/>
</ds:datastoreItem>
</file>

<file path=customXml/itemProps2.xml><?xml version="1.0" encoding="utf-8"?>
<ds:datastoreItem xmlns:ds="http://schemas.openxmlformats.org/officeDocument/2006/customXml" ds:itemID="{7A06A76D-C6E6-4729-BFCA-4A1F95ABBB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</vt:i4>
      </vt:variant>
    </vt:vector>
  </HeadingPairs>
  <TitlesOfParts>
    <vt:vector size="11" baseType="lpstr">
      <vt:lpstr>WIP</vt:lpstr>
      <vt:lpstr>Master</vt:lpstr>
      <vt:lpstr>Config</vt:lpstr>
      <vt:lpstr>audit_expected_fees</vt:lpstr>
      <vt:lpstr>wip_opps_exp_fees_exist_lines </vt:lpstr>
      <vt:lpstr>wip_opps_exp_fees_new_lines </vt:lpstr>
      <vt:lpstr>wip_job_exp_fees_new_lines </vt:lpstr>
      <vt:lpstr>wip_job_exp_fees_exist_lines </vt:lpstr>
      <vt:lpstr>Master!jum_dropdown_list</vt:lpstr>
      <vt:lpstr>jum_dropdown_list</vt:lpstr>
      <vt:lpstr>Weighting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Penuliar</dc:creator>
  <cp:lastModifiedBy>Jonathan Penuliar</cp:lastModifiedBy>
  <dcterms:created xsi:type="dcterms:W3CDTF">2026-08-11T11:11:03Z</dcterms:created>
  <dcterms:modified xsi:type="dcterms:W3CDTF">2026-08-12T10:50:10Z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4218928-5a79-46f2-909c-7b3fe7c78578_Enabled">
    <vt:lpwstr>true</vt:lpwstr>
  </property>
  <property fmtid="{D5CDD505-2E9C-101B-9397-08002B2CF9AE}" pid="3" name="MSIP_Label_a4218928-5a79-46f2-909c-7b3fe7c78578_SetDate">
    <vt:lpwstr>2026-08-11T11:17:07Z</vt:lpwstr>
  </property>
  <property fmtid="{D5CDD505-2E9C-101B-9397-08002B2CF9AE}" pid="4" name="MSIP_Label_a4218928-5a79-46f2-909c-7b3fe7c78578_Method">
    <vt:lpwstr>Standard</vt:lpwstr>
  </property>
  <property fmtid="{D5CDD505-2E9C-101B-9397-08002B2CF9AE}" pid="5" name="MSIP_Label_a4218928-5a79-46f2-909c-7b3fe7c78578_Name">
    <vt:lpwstr>Montagu Evans Confidential</vt:lpwstr>
  </property>
  <property fmtid="{D5CDD505-2E9C-101B-9397-08002B2CF9AE}" pid="6" name="MSIP_Label_a4218928-5a79-46f2-909c-7b3fe7c78578_SiteId">
    <vt:lpwstr>cf23ab9a-1a2c-4b5d-8a9e-a102c4eab5ff</vt:lpwstr>
  </property>
  <property fmtid="{D5CDD505-2E9C-101B-9397-08002B2CF9AE}" pid="7" name="MSIP_Label_a4218928-5a79-46f2-909c-7b3fe7c78578_ActionId">
    <vt:lpwstr>ae4daed2-99c4-428b-8cbb-c7bc95ae8d50</vt:lpwstr>
  </property>
  <property fmtid="{D5CDD505-2E9C-101B-9397-08002B2CF9AE}" pid="8" name="MSIP_Label_a4218928-5a79-46f2-909c-7b3fe7c78578_ContentBits">
    <vt:lpwstr>0</vt:lpwstr>
  </property>
  <property fmtid="{D5CDD505-2E9C-101B-9397-08002B2CF9AE}" pid="9" name="MSIP_Label_a4218928-5a79-46f2-909c-7b3fe7c78578_Tag">
    <vt:lpwstr>10, 3, 0, 1</vt:lpwstr>
  </property>
</Properties>
</file>